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aDinh" sheetId="1" state="visible" r:id="rId3"/>
    <sheet name="DonViKinhTe" sheetId="2" state="visible" r:id="rId4"/>
    <sheet name="DuBao" sheetId="3" state="visible" r:id="rId5"/>
    <sheet name="DoNhay" sheetId="4" state="visible" r:id="rId6"/>
    <sheet name="TinhHo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<sst xmlns="http://schemas.openxmlformats.org/spreadsheetml/2006/main" count="214" uniqueCount="208">
  <si>
    <t xml:space="preserve">MÔ HÌNH KINH TẾ – ỨNG DỤNG GIA SƯ AI "THẦY AN"</t>
  </si>
  <si>
    <t xml:space="preserve">Bảng giả định (ô xanh = nhập tay, chỉnh tự do; ô đen = công thức)</t>
  </si>
  <si>
    <t xml:space="preserve">A. Tỷ giá &amp; đơn giá token</t>
  </si>
  <si>
    <t xml:space="preserve">Tỷ giá USD/VND</t>
  </si>
  <si>
    <t xml:space="preserve">Tham số, chỉnh theo tỷ giá thực tế</t>
  </si>
  <si>
    <t xml:space="preserve">Sonnet 4.6 – input ($/triệu token)</t>
  </si>
  <si>
    <t xml:space="preserve">Nguồn: Anthropic 2026</t>
  </si>
  <si>
    <t xml:space="preserve">Sonnet 4.6 – output ($/triệu token)</t>
  </si>
  <si>
    <t xml:space="preserve">Haiku 4.5 – input ($/triệu token)</t>
  </si>
  <si>
    <t xml:space="preserve">Haiku 4.5 – output ($/triệu token)</t>
  </si>
  <si>
    <t xml:space="preserve">Cache read = % giá input</t>
  </si>
  <si>
    <t xml:space="preserve">Cache giảm ~90% chi phí input</t>
  </si>
  <si>
    <t xml:space="preserve">B. Token mỗi câu hỏi (gộp các lượt hội thoại)</t>
  </si>
  <si>
    <t xml:space="preserve">Input token – mới (không cache)</t>
  </si>
  <si>
    <t xml:space="preserve">Đề bài + lượt mới</t>
  </si>
  <si>
    <t xml:space="preserve">Input token – đọc từ cache</t>
  </si>
  <si>
    <t xml:space="preserve">System prompt + lịch sử + đề phổ biến</t>
  </si>
  <si>
    <t xml:space="preserve">Output token</t>
  </si>
  <si>
    <t xml:space="preserve">Dạy gợi mở → output ngắn</t>
  </si>
  <si>
    <t xml:space="preserve">Phụ trội kiểm chứng/giải lại (%)</t>
  </si>
  <si>
    <t xml:space="preserve">≈10% câu phải giải lại</t>
  </si>
  <si>
    <t xml:space="preserve">C. Định tuyến mô hình &amp; chi phí khác</t>
  </si>
  <si>
    <t xml:space="preserve">% câu dùng Sonnet – người TRẢ PHÍ</t>
  </si>
  <si>
    <t xml:space="preserve">Còn lại dùng Haiku</t>
  </si>
  <si>
    <t xml:space="preserve">% câu dùng Sonnet – người MIỄN PHÍ</t>
  </si>
  <si>
    <t xml:space="preserve">Free: 100% Haiku để tiết kiệm</t>
  </si>
  <si>
    <t xml:space="preserve">Chi phí OCR / câu hỏi (VND)</t>
  </si>
  <si>
    <t xml:space="preserve">Dùng vision; Mathpix là tùy chọn</t>
  </si>
  <si>
    <t xml:space="preserve">D. Mức sử dụng</t>
  </si>
  <si>
    <t xml:space="preserve">Câu hỏi/tháng – người TRẢ PHÍ</t>
  </si>
  <si>
    <t xml:space="preserve">≈3–4 câu/ngày khi học</t>
  </si>
  <si>
    <t xml:space="preserve">Câu hỏi/tháng – người MIỄN PHÍ</t>
  </si>
  <si>
    <t xml:space="preserve">Đã giới hạn gói free</t>
  </si>
  <si>
    <t xml:space="preserve">E. Giá gói &amp; thanh toán</t>
  </si>
  <si>
    <t xml:space="preserve">ARPU người trả phí (VND/tháng)</t>
  </si>
  <si>
    <t xml:space="preserve">Blended: Standard 99k + Premium 199k</t>
  </si>
  <si>
    <t xml:space="preserve">Phí cổng thanh toán (%)</t>
  </si>
  <si>
    <t xml:space="preserve">Ví/cổng ~1–2%; VietQR/A2A ~0%</t>
  </si>
  <si>
    <t xml:space="preserve">F. Phễu &amp; tăng trưởng</t>
  </si>
  <si>
    <t xml:space="preserve">Tỷ lệ chuyển đổi free→paid (%)</t>
  </si>
  <si>
    <t xml:space="preserve">Đòn bẩy sống còn</t>
  </si>
  <si>
    <t xml:space="preserve">Churn người trả phí/tháng (%)</t>
  </si>
  <si>
    <t xml:space="preserve">Churn người miễn phí/tháng (%)</t>
  </si>
  <si>
    <t xml:space="preserve">CAC mỗi người dùng mới (VND)</t>
  </si>
  <si>
    <t xml:space="preserve">Chi phí thu hút</t>
  </si>
  <si>
    <t xml:space="preserve">Người dùng mới – tháng 1</t>
  </si>
  <si>
    <t xml:space="preserve">Tăng trưởng người dùng mới/tháng (%)</t>
  </si>
  <si>
    <t xml:space="preserve">G. Chi phí cố định/tháng</t>
  </si>
  <si>
    <t xml:space="preserve">Lương đội ngũ (VND/tháng)</t>
  </si>
  <si>
    <t xml:space="preserve">≈4–6 người giai đoạn đầu</t>
  </si>
  <si>
    <t xml:space="preserve">Hạ tầng &amp; dịch vụ (VND/tháng)</t>
  </si>
  <si>
    <t xml:space="preserve">Chi phí cố định khác (VND/tháng)</t>
  </si>
  <si>
    <t xml:space="preserve">H. Phân khúc TINH HOA (Olympiad) — giả định riêng</t>
  </si>
  <si>
    <t xml:space="preserve">Opus 4.8 – input ($/triệu token)</t>
  </si>
  <si>
    <t xml:space="preserve">Bậc reasoning hàng đầu</t>
  </si>
  <si>
    <t xml:space="preserve">Opus 4.8 – output ($/triệu token)</t>
  </si>
  <si>
    <t xml:space="preserve">Input token mới/câu (đề + RAG)</t>
  </si>
  <si>
    <t xml:space="preserve">Input token cache/câu (tài liệu + system)</t>
  </si>
  <si>
    <t xml:space="preserve">Output token/câu (suy luận sâu, dài)</t>
  </si>
  <si>
    <t xml:space="preserve">Chuỗi lập luận dài</t>
  </si>
  <si>
    <t xml:space="preserve">Tỷ lệ chi phí cross-check thêm</t>
  </si>
  <si>
    <t xml:space="preserve">Câu quan trọng ≈ ×2 suy luận</t>
  </si>
  <si>
    <t xml:space="preserve">Tỷ lệ câu cần HLV duyệt</t>
  </si>
  <si>
    <t xml:space="preserve">Human-in-the-loop</t>
  </si>
  <si>
    <t xml:space="preserve">Thời gian HLV duyệt/câu (phút)</t>
  </si>
  <si>
    <t xml:space="preserve">Thù lao HLV (VND/giờ)</t>
  </si>
  <si>
    <t xml:space="preserve">Giáo viên/HLV chuyên</t>
  </si>
  <si>
    <t xml:space="preserve">Câu hỏi/tháng/học sinh tinh hoa</t>
  </si>
  <si>
    <t xml:space="preserve">Ít câu hơn nhưng nặng &amp; sâu</t>
  </si>
  <si>
    <t xml:space="preserve">Giá thuê bao/chỗ/tháng (B2B)</t>
  </si>
  <si>
    <t xml:space="preserve">≈3,6tr/năm; trường chuyên/đội tuyển</t>
  </si>
  <si>
    <t xml:space="preserve">Phí thanh toán B2B (%)</t>
  </si>
  <si>
    <t xml:space="preserve">Chuyển khoản, phí thấp</t>
  </si>
  <si>
    <t xml:space="preserve">Số trường/đối tác</t>
  </si>
  <si>
    <t xml:space="preserve">Số chỗ mỗi trường</t>
  </si>
  <si>
    <t xml:space="preserve">Chi phí cố định riêng tinh hoa (VND/tháng)</t>
  </si>
  <si>
    <t xml:space="preserve">Biên tập nội dung Olympiad, điều phối</t>
  </si>
  <si>
    <t xml:space="preserve">Nguồn &amp; lưu ý:</t>
  </si>
  <si>
    <t xml:space="preserve">• Giá token: Anthropic API 2026 (Sonnet 4.6 $3/$15, Haiku 4.5 $1/$5 mỗi triệu token); cache read ~10% giá input.</t>
  </si>
  <si>
    <t xml:space="preserve">• Phí cổng thanh toán VN: ví/cổng trung gian ~1–2% (Momo/ZaloPay/VNPay); VietQR/A2A có thể gần 0.</t>
  </si>
  <si>
    <t xml:space="preserve">• Đối thủ (VuiHoc, Marathon, Hocmai) bán theo khóa/lớp livestream; nhiều bên đã kèm 'gia sư AI'.</t>
  </si>
  <si>
    <t xml:space="preserve">• Mọi con số là GIẢ ĐỊNH khởi điểm — hãy thay bằng dữ liệu thử nghiệm thực tế của a.</t>
  </si>
  <si>
    <t xml:space="preserve">ĐƠN VỊ KINH TẾ (mỗi câu hỏi / mỗi người dùng)</t>
  </si>
  <si>
    <t xml:space="preserve">1. Chi phí token mỗi câu hỏi (VND)</t>
  </si>
  <si>
    <t xml:space="preserve">Chi phí/câu – Sonnet</t>
  </si>
  <si>
    <t xml:space="preserve">fresh + cache + output</t>
  </si>
  <si>
    <t xml:space="preserve">Chi phí/câu – Haiku</t>
  </si>
  <si>
    <t xml:space="preserve">Chi phí/câu – người TRẢ PHÍ (đã định tuyến + kiểm chứng)</t>
  </si>
  <si>
    <t xml:space="preserve">blend Sonnet/Haiku</t>
  </si>
  <si>
    <t xml:space="preserve">Chi phí/câu – người MIỄN PHÍ</t>
  </si>
  <si>
    <t xml:space="preserve">free: 100% Haiku</t>
  </si>
  <si>
    <t xml:space="preserve">2. Theo mỗi người dùng / tháng (VND)</t>
  </si>
  <si>
    <t xml:space="preserve">Chi phí LLM – mỗi người TRẢ PHÍ</t>
  </si>
  <si>
    <t xml:space="preserve">Chi phí LLM – mỗi người MIỄN PHÍ</t>
  </si>
  <si>
    <t xml:space="preserve">Doanh thu ròng/người trả phí (trừ phí TT)</t>
  </si>
  <si>
    <t xml:space="preserve">Lợi nhuận gộp/người trả phí</t>
  </si>
  <si>
    <t xml:space="preserve">Chưa tính gánh nặng free</t>
  </si>
  <si>
    <t xml:space="preserve">Biên lợi nhuận gộp (%)</t>
  </si>
  <si>
    <t xml:space="preserve">3. Phễu freemium &amp; LTV</t>
  </si>
  <si>
    <t xml:space="preserve">Số người miễn phí 'gánh' mỗi người trả phí</t>
  </si>
  <si>
    <t xml:space="preserve">theo (1-conv)/conv</t>
  </si>
  <si>
    <t xml:space="preserve">Gánh nặng LLM free phân bổ/người trả phí/tháng</t>
  </si>
  <si>
    <t xml:space="preserve">Đóng góp ròng/người trả phí (đã trừ free burn)</t>
  </si>
  <si>
    <t xml:space="preserve">SỐ QUYẾT ĐỊNH lời/lỗ</t>
  </si>
  <si>
    <t xml:space="preserve">Vòng đời người trả phí (tháng)</t>
  </si>
  <si>
    <t xml:space="preserve">theo 1/churn</t>
  </si>
  <si>
    <t xml:space="preserve">LTV/người trả phí (gộp)</t>
  </si>
  <si>
    <t xml:space="preserve">CAC thực/mỗi người trả phí</t>
  </si>
  <si>
    <t xml:space="preserve">theo CAC/conv</t>
  </si>
  <si>
    <t xml:space="preserve">Tỷ lệ LTV : CAC</t>
  </si>
  <si>
    <t xml:space="preserve">Mục tiêu ≥ 3.0x</t>
  </si>
  <si>
    <t xml:space="preserve">Thời gian hoàn vốn CAC (tháng)</t>
  </si>
  <si>
    <t xml:space="preserve">DỰ BÁO TÀI CHÍNH 24 THÁNG (VND)</t>
  </si>
  <si>
    <t xml:space="preserve">Tháng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</si>
  <si>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</si>
  <si>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</si>
  <si>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</si>
  <si>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</si>
  <si>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</si>
  <si>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</si>
  <si>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</si>
  <si>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</si>
  <si>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</si>
  <si>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</si>
  <si>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</si>
  <si>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</si>
  <si>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</si>
  <si>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</si>
  <si>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</si>
  <si>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</si>
  <si>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</si>
  <si>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</si>
  <si>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</si>
  <si>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</si>
  <si>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</si>
  <si>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</si>
  <si>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</si>
  <si>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</si>
  <si>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Người dùng mới</t>
  </si>
  <si>
    <t xml:space="preserve">Chuyển đổi sang trả phí</t>
  </si>
  <si>
    <t xml:space="preserve">Người TRẢ PHÍ (cuối kỳ)</t>
  </si>
  <si>
    <t xml:space="preserve">Người MIỄN PHÍ (cuối kỳ)</t>
  </si>
  <si>
    <t xml:space="preserve">Doanh thu</t>
  </si>
  <si>
    <t xml:space="preserve">(-) Phí thanh toán</t>
  </si>
  <si>
    <t xml:space="preserve">(-) LLM – trả phí</t>
  </si>
  <si>
    <t xml:space="preserve">(-) LLM – miễn phí</t>
  </si>
  <si>
    <t xml:space="preserve">Lợi nhuận gộp</t>
  </si>
  <si>
    <t xml:space="preserve">(-) Marketing/CAC</t>
  </si>
  <si>
    <t xml:space="preserve">(-) Lương đội ngũ</t>
  </si>
  <si>
    <t xml:space="preserve">(-) Hạ tầng</t>
  </si>
  <si>
    <t xml:space="preserve">(-) Chi phí khác</t>
  </si>
  <si>
    <t xml:space="preserve">EBITDA</t>
  </si>
  <si>
    <t xml:space="preserve">Dòng tiền lũy kế</t>
  </si>
  <si>
    <t xml:space="preserve">&gt;0?</t>
  </si>
  <si>
    <t xml:space="preserve">TÓM TẮT</t>
  </si>
  <si>
    <t xml:space="preserve">Doanh thu năm 1 (T1–12)</t>
  </si>
  <si>
    <t xml:space="preserve">EBITDA năm 1</t>
  </si>
  <si>
    <t xml:space="preserve">Doanh thu năm 2 (T13–24)</t>
  </si>
  <si>
    <t xml:space="preserve">EBITDA năm 2</t>
  </si>
  <si>
    <t xml:space="preserve">Tháng EBITDA dương đầu tiên</t>
  </si>
  <si>
    <t xml:space="preserve">Tháng hòa vốn dòng tiền lũy kế</t>
  </si>
  <si>
    <t xml:space="preserve">Người trả phí cuối T24</t>
  </si>
  <si>
    <t xml:space="preserve">ĐỘ NHẠY – Biên lợi nhuận gộp/người trả phí</t>
  </si>
  <si>
    <t xml:space="preserve">Hàng = giá gói (ARPU); Cột = số câu hỏi/tháng. (Dùng định tuyến &amp; token theo sheet Giả định)</t>
  </si>
  <si>
    <t xml:space="preserve">ARPU \ Câu hỏi/tháng</t>
  </si>
  <si>
    <t xml:space="preserve">Đọc bảng: ô càng cao càng lời; ô âm = lỗ ở mức giá/sử dụng đó.</t>
  </si>
  <si>
    <t xml:space="preserve">Đòn bẩy chính: tăng % cache, giảm output (dạy gợi mở), định tuyến Haiku, và siết hạn mức gói free.</t>
  </si>
  <si>
    <t xml:space="preserve">PHÂN KHÚC TINH HOA (OLYMPIAD) — KINH TẾ B2B</t>
  </si>
  <si>
    <t xml:space="preserve">Chi phí/câu cao (Opus + cross-check + HLV) nhưng KHÔNG có free-burn; bán B2B giá cao.</t>
  </si>
  <si>
    <t xml:space="preserve">1. Chi phí mỗi câu hỏi (VND)</t>
  </si>
  <si>
    <t xml:space="preserve">Chi phí LLM/câu – Opus (bậc reasoning)</t>
  </si>
  <si>
    <t xml:space="preserve">fresh + cache + output dài</t>
  </si>
  <si>
    <t xml:space="preserve">Chi phí LLM/câu + cross-check</t>
  </si>
  <si>
    <t xml:space="preserve">câu quan trọng ×2</t>
  </si>
  <si>
    <t xml:space="preserve">Chi phí HLV duyệt/câu (phân bổ)</t>
  </si>
  <si>
    <t xml:space="preserve">tỷ lệ duyệt × phút × đơn giá</t>
  </si>
  <si>
    <t xml:space="preserve">Tổng chi phí/câu – tinh hoa</t>
  </si>
  <si>
    <t xml:space="preserve">2. Theo mỗi chỗ (seat) / tháng</t>
  </si>
  <si>
    <t xml:space="preserve">Chi phí/chỗ/tháng</t>
  </si>
  <si>
    <t xml:space="preserve">Doanh thu ròng/chỗ/tháng (trừ phí)</t>
  </si>
  <si>
    <t xml:space="preserve">Lợi nhuận gộp/chỗ/tháng</t>
  </si>
  <si>
    <t xml:space="preserve">KHÔNG có free-burn</t>
  </si>
  <si>
    <t xml:space="preserve">Lợi nhuận gộp/chỗ/năm</t>
  </si>
  <si>
    <t xml:space="preserve">3. Kịch bản B2B</t>
  </si>
  <si>
    <t xml:space="preserve">Tổng số chỗ</t>
  </si>
  <si>
    <t xml:space="preserve">trường × chỗ</t>
  </si>
  <si>
    <t xml:space="preserve">Doanh thu/tháng</t>
  </si>
  <si>
    <t xml:space="preserve">Chi phí LLM+HLV/tháng</t>
  </si>
  <si>
    <t xml:space="preserve">Phí thanh toán/tháng</t>
  </si>
  <si>
    <t xml:space="preserve">Lợi nhuận gộp/tháng</t>
  </si>
  <si>
    <t xml:space="preserve">EBITDA/tháng (trừ cố định riêng)</t>
  </si>
  <si>
    <t xml:space="preserve">Doanh thu/năm</t>
  </si>
  <si>
    <t xml:space="preserve">EBITDA/năm</t>
  </si>
  <si>
    <t xml:space="preserve">Số chỗ hòa vốn cố định riêng</t>
  </si>
  <si>
    <t xml:space="preserve">cố định ÷ GP mỗi chỗ</t>
  </si>
  <si>
    <t xml:space="preserve">4. So sánh hai phân khúc</t>
  </si>
  <si>
    <t xml:space="preserve">Chi phí/câu – Đại trà</t>
  </si>
  <si>
    <t xml:space="preserve">Chi phí/câu – Tinh hoa</t>
  </si>
  <si>
    <t xml:space="preserve">cao hơn nhiều</t>
  </si>
  <si>
    <t xml:space="preserve">LN gộp/người/tháng – Đại trà</t>
  </si>
  <si>
    <t xml:space="preserve">chưa trừ free-burn</t>
  </si>
  <si>
    <t xml:space="preserve">LN gộp/chỗ/tháng – Tinh hoa</t>
  </si>
  <si>
    <t xml:space="preserve">B2B, không free-burn</t>
  </si>
  <si>
    <t xml:space="preserve">Khác biệt cốt lõi: Đại trà = chi phí/câu thấp NHƯNG bị free-burn + chuyển đổi thấp;</t>
  </si>
  <si>
    <t xml:space="preserve">Tinh hoa = chi phí/câu cao (Opus + cross-check + HLV) NHƯNG bán B2B, không free-burn, WTP cao.</t>
  </si>
  <si>
    <t xml:space="preserve">5. Độ nhạy — Biên lợi nhuận gộp/chỗ</t>
  </si>
  <si>
    <t xml:space="preserve">Hàng = giá/chỗ/tháng; Cột = câu hỏi/tháng</t>
  </si>
  <si>
    <t xml:space="preserve">Giá \ Câu hỏi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</si>
</sst>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.00"/>
    <numFmt numFmtId="167" formatCode="0.0%"/>
    <numFmt numFmtId="168" formatCode="0.0"/>
    <numFmt numFmtId="169" formatCode="0.0\x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A3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A3D"/>
        <bgColor rgb="FF163A30"/>
      </patternFill>
    </fill>
    <fill>
      <patternFill patternType="solid">
        <fgColor rgb="FFEAF2FF"/>
        <bgColor rgb="FFEFF6F2"/>
      </patternFill>
    </fill>
    <fill>
      <patternFill patternType="solid">
        <fgColor rgb="FFFFF6E5"/>
        <bgColor rgb="FFEFF6F2"/>
      </patternFill>
    </fill>
    <fill>
      <patternFill patternType="solid">
        <fgColor rgb="FF2E6B58"/>
        <bgColor rgb="FF1F4A3D"/>
      </patternFill>
    </fill>
    <fill>
      <patternFill patternType="solid">
        <fgColor rgb="FFEFF6F2"/>
        <bgColor rgb="FFEA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58"/>
      <rgbColor rgb="FFC8C8C8"/>
      <rgbColor rgb="FF808080"/>
      <rgbColor rgb="FF9999FF"/>
      <rgbColor rgb="FF993366"/>
      <rgbColor rgb="FFFFF6E5"/>
      <rgbColor rgb="FFEA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4A3D"/>
      <rgbColor rgb="FF339966"/>
      <rgbColor rgb="FF003300"/>
      <rgbColor rgb="FF333300"/>
      <rgbColor rgb="FF993300"/>
      <rgbColor rgb="FF993366"/>
      <rgbColor rgb="FF333399"/>
      <rgbColor rgb="FF163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Dòng tiền lũy kế (VND)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DuBao!$B$3:$Y$3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DuBao!$B$20:$Y$20</c:f>
              <c:numCache>
                <c:formatCode>#,##0</c:formatCode>
                <c:ptCount val="24"/>
                <c:pt idx="0">
                  <c:v>-166910000</c:v>
                </c:pt>
                <c:pt idx="1">
                  <c:v>-347582824</c:v>
                </c:pt>
                <c:pt idx="2">
                  <c:v>-544340651.28</c:v>
                </c:pt>
                <c:pt idx="3">
                  <c:v>-760052515.7576</c:v>
                </c:pt>
                <c:pt idx="4">
                  <c:v>-998229885.221992</c:v>
                </c:pt>
                <c:pt idx="5">
                  <c:v>-1263143539.47888</c:v>
                </c:pt>
                <c:pt idx="6">
                  <c:v>-1559965670.5841</c:v>
                </c:pt>
                <c:pt idx="7">
                  <c:v>-1894941964.20147</c:v>
                </c:pt>
                <c:pt idx="8">
                  <c:v>-2275599416.40796</c:v>
                </c:pt>
                <c:pt idx="9">
                  <c:v>-2710996828.03827</c:v>
                </c:pt>
                <c:pt idx="10">
                  <c:v>-3212026338.3988</c:v>
                </c:pt>
                <c:pt idx="11">
                  <c:v>-3791776059.12245</c:v>
                </c:pt>
                <c:pt idx="12">
                  <c:v>-4465965903.63788</c:v>
                </c:pt>
                <c:pt idx="13">
                  <c:v>-5253471145.94809</c:v>
                </c:pt>
                <c:pt idx="14">
                  <c:v>-6176951165.37467</c:v>
                </c:pt>
                <c:pt idx="15">
                  <c:v>-7263604339.0114</c:v>
                </c:pt>
                <c:pt idx="16">
                  <c:v>-8546074247.64274</c:v>
                </c:pt>
                <c:pt idx="17">
                  <c:v>-10063537403.9194</c:v>
                </c:pt>
                <c:pt idx="18">
                  <c:v>-11863008761.7192</c:v>
                </c:pt>
                <c:pt idx="19">
                  <c:v>-14000908524.504</c:v>
                </c:pt>
                <c:pt idx="20">
                  <c:v>-16544942480.0591</c:v>
                </c:pt>
                <c:pt idx="21">
                  <c:v>-19576358539.564</c:v>
                </c:pt>
                <c:pt idx="22">
                  <c:v>-23192654698.848</c:v>
                </c:pt>
                <c:pt idx="23">
                  <c:v>-27510828686.8929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306784"/>
        <c:axId val="11253206"/>
      </c:lineChart>
      <c:catAx>
        <c:axId val="1430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3206"/>
        <c:crosses val="autoZero"/>
        <c:auto val="1"/>
        <c:lblAlgn val="ctr"/>
        <c:lblOffset val="100"/>
        <c:noMultiLvlLbl val="0"/>
      </c:catAx>
      <c:valAx>
        <c:axId val="11253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06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130680</xdr:rowOff>
    </xdr:from>
    <xdr:to>
      <xdr:col>7</xdr:col>
      <xdr:colOff>151200</xdr:colOff>
      <xdr:row>44</xdr:row>
      <xdr:rowOff>173880</xdr:rowOff>
    </xdr:to>
    <xdr:graphicFrame>
      <xdr:nvGraphicFramePr>
        <xdr:cNvPr id="0" name="Chart 1"/>
        <xdr:cNvGraphicFramePr/>
      </xdr:nvGraphicFramePr>
      <xdr:xfrm>
        <a:off x="0" y="6095880"/>
        <a:ext cx="71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26000</v>
      </c>
      <c r="C5" s="2" t="s">
        <v>4</v>
      </c>
    </row>
    <row r="6" customFormat="false" ht="15" hidden="false" customHeight="false" outlineLevel="0" collapsed="false">
      <c r="A6" s="5" t="s">
        <v>5</v>
      </c>
      <c r="B6" s="7" t="n">
        <v>3</v>
      </c>
      <c r="C6" s="2" t="s">
        <v>6</v>
      </c>
    </row>
    <row r="7" customFormat="false" ht="15" hidden="false" customHeight="false" outlineLevel="0" collapsed="false">
      <c r="A7" s="5" t="s">
        <v>7</v>
      </c>
      <c r="B7" s="7" t="n">
        <v>15</v>
      </c>
      <c r="C7" s="2" t="s">
        <v>6</v>
      </c>
    </row>
    <row r="8" customFormat="false" ht="15" hidden="false" customHeight="false" outlineLevel="0" collapsed="false">
      <c r="A8" s="5" t="s">
        <v>8</v>
      </c>
      <c r="B8" s="7" t="n">
        <v>1</v>
      </c>
      <c r="C8" s="2" t="s">
        <v>6</v>
      </c>
    </row>
    <row r="9" customFormat="false" ht="15" hidden="false" customHeight="false" outlineLevel="0" collapsed="false">
      <c r="A9" s="5" t="s">
        <v>9</v>
      </c>
      <c r="B9" s="7" t="n">
        <v>5</v>
      </c>
      <c r="C9" s="2" t="s">
        <v>6</v>
      </c>
    </row>
    <row r="10" customFormat="false" ht="15" hidden="false" customHeight="false" outlineLevel="0" collapsed="false">
      <c r="A10" s="5" t="s">
        <v>10</v>
      </c>
      <c r="B10" s="8" t="n">
        <v>0.1</v>
      </c>
      <c r="C10" s="2" t="s">
        <v>11</v>
      </c>
    </row>
    <row r="11" customFormat="false" ht="15" hidden="false" customHeight="false" outlineLevel="0" collapsed="false">
      <c r="A11" s="3" t="s">
        <v>12</v>
      </c>
      <c r="B11" s="4"/>
      <c r="C11" s="4"/>
    </row>
    <row r="12" customFormat="false" ht="15" hidden="false" customHeight="false" outlineLevel="0" collapsed="false">
      <c r="A12" s="5" t="s">
        <v>13</v>
      </c>
      <c r="B12" s="6" t="n">
        <v>3500</v>
      </c>
      <c r="C12" s="2" t="s">
        <v>14</v>
      </c>
    </row>
    <row r="13" customFormat="false" ht="15" hidden="false" customHeight="false" outlineLevel="0" collapsed="false">
      <c r="A13" s="5" t="s">
        <v>15</v>
      </c>
      <c r="B13" s="6" t="n">
        <v>5000</v>
      </c>
      <c r="C13" s="2" t="s">
        <v>16</v>
      </c>
    </row>
    <row r="14" customFormat="false" ht="15" hidden="false" customHeight="false" outlineLevel="0" collapsed="false">
      <c r="A14" s="5" t="s">
        <v>17</v>
      </c>
      <c r="B14" s="6" t="n">
        <v>1200</v>
      </c>
      <c r="C14" s="2" t="s">
        <v>18</v>
      </c>
    </row>
    <row r="15" customFormat="false" ht="15" hidden="false" customHeight="false" outlineLevel="0" collapsed="false">
      <c r="A15" s="5" t="s">
        <v>19</v>
      </c>
      <c r="B15" s="8" t="n">
        <v>0.1</v>
      </c>
      <c r="C15" s="2" t="s">
        <v>20</v>
      </c>
    </row>
    <row r="16" customFormat="false" ht="15" hidden="false" customHeight="false" outlineLevel="0" collapsed="false">
      <c r="A16" s="3" t="s">
        <v>21</v>
      </c>
      <c r="B16" s="4"/>
      <c r="C16" s="4"/>
    </row>
    <row r="17" customFormat="false" ht="15" hidden="false" customHeight="false" outlineLevel="0" collapsed="false">
      <c r="A17" s="5" t="s">
        <v>22</v>
      </c>
      <c r="B17" s="8" t="n">
        <v>0.7</v>
      </c>
      <c r="C17" s="2" t="s">
        <v>23</v>
      </c>
    </row>
    <row r="18" customFormat="false" ht="15" hidden="false" customHeight="false" outlineLevel="0" collapsed="false">
      <c r="A18" s="5" t="s">
        <v>24</v>
      </c>
      <c r="B18" s="8" t="n">
        <v>0</v>
      </c>
      <c r="C18" s="2" t="s">
        <v>25</v>
      </c>
    </row>
    <row r="19" customFormat="false" ht="15" hidden="false" customHeight="false" outlineLevel="0" collapsed="false">
      <c r="A19" s="5" t="s">
        <v>26</v>
      </c>
      <c r="B19" s="6" t="n">
        <v>0</v>
      </c>
      <c r="C19" s="2" t="s">
        <v>27</v>
      </c>
    </row>
    <row r="20" customFormat="false" ht="15" hidden="false" customHeight="false" outlineLevel="0" collapsed="false">
      <c r="A20" s="3" t="s">
        <v>28</v>
      </c>
      <c r="B20" s="4"/>
      <c r="C20" s="4"/>
    </row>
    <row r="21" customFormat="false" ht="15" hidden="false" customHeight="false" outlineLevel="0" collapsed="false">
      <c r="A21" s="5" t="s">
        <v>29</v>
      </c>
      <c r="B21" s="6" t="n">
        <v>100</v>
      </c>
      <c r="C21" s="2" t="s">
        <v>30</v>
      </c>
    </row>
    <row r="22" customFormat="false" ht="15" hidden="false" customHeight="false" outlineLevel="0" collapsed="false">
      <c r="A22" s="5" t="s">
        <v>31</v>
      </c>
      <c r="B22" s="6" t="n">
        <v>20</v>
      </c>
      <c r="C22" s="2" t="s">
        <v>32</v>
      </c>
    </row>
    <row r="23" customFormat="false" ht="15" hidden="false" customHeight="false" outlineLevel="0" collapsed="false">
      <c r="A23" s="3" t="s">
        <v>33</v>
      </c>
      <c r="B23" s="4"/>
      <c r="C23" s="4"/>
    </row>
    <row r="24" customFormat="false" ht="15" hidden="false" customHeight="false" outlineLevel="0" collapsed="false">
      <c r="A24" s="5" t="s">
        <v>34</v>
      </c>
      <c r="B24" s="6" t="n">
        <v>129000</v>
      </c>
      <c r="C24" s="2" t="s">
        <v>35</v>
      </c>
    </row>
    <row r="25" customFormat="false" ht="15" hidden="false" customHeight="false" outlineLevel="0" collapsed="false">
      <c r="A25" s="5" t="s">
        <v>36</v>
      </c>
      <c r="B25" s="8" t="n">
        <v>0.02</v>
      </c>
      <c r="C25" s="2" t="s">
        <v>37</v>
      </c>
    </row>
    <row r="26" customFormat="false" ht="15" hidden="false" customHeight="false" outlineLevel="0" collapsed="false">
      <c r="A26" s="3" t="s">
        <v>38</v>
      </c>
      <c r="B26" s="4"/>
      <c r="C26" s="4"/>
    </row>
    <row r="27" customFormat="false" ht="15" hidden="false" customHeight="false" outlineLevel="0" collapsed="false">
      <c r="A27" s="5" t="s">
        <v>39</v>
      </c>
      <c r="B27" s="8" t="n">
        <v>0.06</v>
      </c>
      <c r="C27" s="2" t="s">
        <v>40</v>
      </c>
    </row>
    <row r="28" customFormat="false" ht="15" hidden="false" customHeight="false" outlineLevel="0" collapsed="false">
      <c r="A28" s="5" t="s">
        <v>41</v>
      </c>
      <c r="B28" s="8" t="n">
        <v>0.08</v>
      </c>
    </row>
    <row r="29" customFormat="false" ht="15" hidden="false" customHeight="false" outlineLevel="0" collapsed="false">
      <c r="A29" s="5" t="s">
        <v>42</v>
      </c>
      <c r="B29" s="8" t="n">
        <v>0.15</v>
      </c>
    </row>
    <row r="30" customFormat="false" ht="15" hidden="false" customHeight="false" outlineLevel="0" collapsed="false">
      <c r="A30" s="5" t="s">
        <v>43</v>
      </c>
      <c r="B30" s="6" t="n">
        <v>60000</v>
      </c>
      <c r="C30" s="2" t="s">
        <v>44</v>
      </c>
    </row>
    <row r="31" customFormat="false" ht="15" hidden="false" customHeight="false" outlineLevel="0" collapsed="false">
      <c r="A31" s="5" t="s">
        <v>45</v>
      </c>
      <c r="B31" s="6" t="n">
        <v>1000</v>
      </c>
    </row>
    <row r="32" customFormat="false" ht="15" hidden="false" customHeight="false" outlineLevel="0" collapsed="false">
      <c r="A32" s="5" t="s">
        <v>46</v>
      </c>
      <c r="B32" s="8" t="n">
        <v>0.2</v>
      </c>
    </row>
    <row r="33" customFormat="false" ht="15" hidden="false" customHeight="false" outlineLevel="0" collapsed="false">
      <c r="A33" s="3" t="s">
        <v>47</v>
      </c>
      <c r="B33" s="4"/>
      <c r="C33" s="4"/>
    </row>
    <row r="34" customFormat="false" ht="15" hidden="false" customHeight="false" outlineLevel="0" collapsed="false">
      <c r="A34" s="5" t="s">
        <v>48</v>
      </c>
      <c r="B34" s="6" t="n">
        <v>80000000</v>
      </c>
      <c r="C34" s="2" t="s">
        <v>49</v>
      </c>
    </row>
    <row r="35" customFormat="false" ht="15" hidden="false" customHeight="false" outlineLevel="0" collapsed="false">
      <c r="A35" s="5" t="s">
        <v>50</v>
      </c>
      <c r="B35" s="6" t="n">
        <v>15000000</v>
      </c>
    </row>
    <row r="36" customFormat="false" ht="15" hidden="false" customHeight="false" outlineLevel="0" collapsed="false">
      <c r="A36" s="5" t="s">
        <v>51</v>
      </c>
      <c r="B36" s="6" t="n">
        <v>10000000</v>
      </c>
    </row>
    <row r="37" customFormat="false" ht="15" hidden="false" customHeight="false" outlineLevel="0" collapsed="false">
      <c r="A37" s="3" t="s">
        <v>52</v>
      </c>
      <c r="B37" s="4"/>
      <c r="C37" s="4"/>
    </row>
    <row r="38" customFormat="false" ht="15" hidden="false" customHeight="false" outlineLevel="0" collapsed="false">
      <c r="A38" s="5" t="s">
        <v>53</v>
      </c>
      <c r="B38" s="7" t="n">
        <v>5</v>
      </c>
      <c r="C38" s="2" t="s">
        <v>54</v>
      </c>
    </row>
    <row r="39" customFormat="false" ht="15" hidden="false" customHeight="false" outlineLevel="0" collapsed="false">
      <c r="A39" s="5" t="s">
        <v>55</v>
      </c>
      <c r="B39" s="7" t="n">
        <v>25</v>
      </c>
      <c r="C39" s="2" t="s">
        <v>6</v>
      </c>
    </row>
    <row r="40" customFormat="false" ht="15" hidden="false" customHeight="false" outlineLevel="0" collapsed="false">
      <c r="A40" s="5" t="s">
        <v>56</v>
      </c>
      <c r="B40" s="6" t="n">
        <v>6000</v>
      </c>
    </row>
    <row r="41" customFormat="false" ht="15" hidden="false" customHeight="false" outlineLevel="0" collapsed="false">
      <c r="A41" s="5" t="s">
        <v>57</v>
      </c>
      <c r="B41" s="6" t="n">
        <v>8000</v>
      </c>
    </row>
    <row r="42" customFormat="false" ht="15" hidden="false" customHeight="false" outlineLevel="0" collapsed="false">
      <c r="A42" s="5" t="s">
        <v>58</v>
      </c>
      <c r="B42" s="6" t="n">
        <v>6000</v>
      </c>
      <c r="C42" s="2" t="s">
        <v>59</v>
      </c>
    </row>
    <row r="43" customFormat="false" ht="15" hidden="false" customHeight="false" outlineLevel="0" collapsed="false">
      <c r="A43" s="5" t="s">
        <v>60</v>
      </c>
      <c r="B43" s="8" t="n">
        <v>0.5</v>
      </c>
      <c r="C43" s="2" t="s">
        <v>61</v>
      </c>
    </row>
    <row r="44" customFormat="false" ht="15" hidden="false" customHeight="false" outlineLevel="0" collapsed="false">
      <c r="A44" s="5" t="s">
        <v>62</v>
      </c>
      <c r="B44" s="8" t="n">
        <v>0.3</v>
      </c>
      <c r="C44" s="2" t="s">
        <v>63</v>
      </c>
    </row>
    <row r="45" customFormat="false" ht="15" hidden="false" customHeight="false" outlineLevel="0" collapsed="false">
      <c r="A45" s="5" t="s">
        <v>64</v>
      </c>
      <c r="B45" s="6" t="n">
        <v>10</v>
      </c>
    </row>
    <row r="46" customFormat="false" ht="15" hidden="false" customHeight="false" outlineLevel="0" collapsed="false">
      <c r="A46" s="5" t="s">
        <v>65</v>
      </c>
      <c r="B46" s="6" t="n">
        <v>150000</v>
      </c>
      <c r="C46" s="2" t="s">
        <v>66</v>
      </c>
    </row>
    <row r="47" customFormat="false" ht="15" hidden="false" customHeight="false" outlineLevel="0" collapsed="false">
      <c r="A47" s="5" t="s">
        <v>67</v>
      </c>
      <c r="B47" s="6" t="n">
        <v>60</v>
      </c>
      <c r="C47" s="2" t="s">
        <v>68</v>
      </c>
    </row>
    <row r="48" customFormat="false" ht="15" hidden="false" customHeight="false" outlineLevel="0" collapsed="false">
      <c r="A48" s="5" t="s">
        <v>69</v>
      </c>
      <c r="B48" s="6" t="n">
        <v>300000</v>
      </c>
      <c r="C48" s="2" t="s">
        <v>70</v>
      </c>
    </row>
    <row r="49" customFormat="false" ht="15" hidden="false" customHeight="false" outlineLevel="0" collapsed="false">
      <c r="A49" s="5" t="s">
        <v>71</v>
      </c>
      <c r="B49" s="8" t="n">
        <v>0.005</v>
      </c>
      <c r="C49" s="2" t="s">
        <v>72</v>
      </c>
    </row>
    <row r="50" customFormat="false" ht="15" hidden="false" customHeight="false" outlineLevel="0" collapsed="false">
      <c r="A50" s="5" t="s">
        <v>73</v>
      </c>
      <c r="B50" s="6" t="n">
        <v>10</v>
      </c>
    </row>
    <row r="51" customFormat="false" ht="15" hidden="false" customHeight="false" outlineLevel="0" collapsed="false">
      <c r="A51" s="5" t="s">
        <v>74</v>
      </c>
      <c r="B51" s="6" t="n">
        <v>50</v>
      </c>
    </row>
    <row r="52" customFormat="false" ht="15" hidden="false" customHeight="false" outlineLevel="0" collapsed="false">
      <c r="A52" s="5" t="s">
        <v>75</v>
      </c>
      <c r="B52" s="6" t="n">
        <v>20000000</v>
      </c>
      <c r="C52" s="2" t="s">
        <v>76</v>
      </c>
    </row>
    <row r="54" customFormat="false" ht="15" hidden="false" customHeight="false" outlineLevel="0" collapsed="false">
      <c r="A54" s="9" t="s">
        <v>77</v>
      </c>
    </row>
    <row r="55" customFormat="false" ht="15" hidden="false" customHeight="false" outlineLevel="0" collapsed="false">
      <c r="A55" s="2" t="s">
        <v>78</v>
      </c>
    </row>
    <row r="56" customFormat="false" ht="15" hidden="false" customHeight="false" outlineLevel="0" collapsed="false">
      <c r="A56" s="2" t="s">
        <v>79</v>
      </c>
    </row>
    <row r="57" customFormat="false" ht="15" hidden="false" customHeight="false" outlineLevel="0" collapsed="false">
      <c r="A57" s="2" t="s">
        <v>80</v>
      </c>
    </row>
    <row r="58" customFormat="false" ht="15" hidden="false" customHeight="false" outlineLevel="0" collapsed="false">
      <c r="A58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3" t="s">
        <v>83</v>
      </c>
      <c r="B3" s="4"/>
      <c r="C3" s="4"/>
    </row>
    <row r="4" customFormat="false" ht="15" hidden="false" customHeight="false" outlineLevel="0" collapsed="false">
      <c r="A4" s="5" t="s">
        <v>84</v>
      </c>
      <c r="B4" s="10" t="n">
        <f aca="false">(GiaDinh!$B$12*GiaDinh!$B$6+GiaDinh!$B$13*GiaDinh!$B$6*GiaDinh!$B$10+GiaDinh!$B$14*GiaDinh!$B$7)/1000000*GiaDinh!$B$5</f>
        <v>780</v>
      </c>
      <c r="C4" s="2" t="s">
        <v>85</v>
      </c>
    </row>
    <row r="5" customFormat="false" ht="15" hidden="false" customHeight="false" outlineLevel="0" collapsed="false">
      <c r="A5" s="5" t="s">
        <v>86</v>
      </c>
      <c r="B5" s="10" t="n">
        <f aca="false">(GiaDinh!$B$12*GiaDinh!$B$8+GiaDinh!$B$13*GiaDinh!$B$8*GiaDinh!$B$10+GiaDinh!$B$14*GiaDinh!$B$9)/1000000*GiaDinh!$B$5</f>
        <v>260</v>
      </c>
    </row>
    <row r="6" customFormat="false" ht="15" hidden="false" customHeight="false" outlineLevel="0" collapsed="false">
      <c r="A6" s="5" t="s">
        <v>87</v>
      </c>
      <c r="B6" s="11" t="n">
        <f aca="false">(GiaDinh!$B$17*B4+(1-GiaDinh!$B$17)*B5)*(1+GiaDinh!$B$15)+GiaDinh!$B$19</f>
        <v>686.4</v>
      </c>
      <c r="C6" s="2" t="s">
        <v>88</v>
      </c>
    </row>
    <row r="7" customFormat="false" ht="15" hidden="false" customHeight="false" outlineLevel="0" collapsed="false">
      <c r="A7" s="5" t="s">
        <v>89</v>
      </c>
      <c r="B7" s="11" t="n">
        <f aca="false">(GiaDinh!$B$18*B4+(1-GiaDinh!$B$18)*B5)*(1+GiaDinh!$B$15)+GiaDinh!$B$19</f>
        <v>286</v>
      </c>
      <c r="C7" s="2" t="s">
        <v>90</v>
      </c>
    </row>
    <row r="8" customFormat="false" ht="15" hidden="false" customHeight="false" outlineLevel="0" collapsed="false">
      <c r="A8" s="3" t="s">
        <v>91</v>
      </c>
      <c r="B8" s="4"/>
      <c r="C8" s="4"/>
    </row>
    <row r="9" customFormat="false" ht="15" hidden="false" customHeight="false" outlineLevel="0" collapsed="false">
      <c r="A9" s="5" t="s">
        <v>92</v>
      </c>
      <c r="B9" s="11" t="n">
        <f aca="false">GiaDinh!$B$21*B6</f>
        <v>68640</v>
      </c>
    </row>
    <row r="10" customFormat="false" ht="15" hidden="false" customHeight="false" outlineLevel="0" collapsed="false">
      <c r="A10" s="5" t="s">
        <v>93</v>
      </c>
      <c r="B10" s="11" t="n">
        <f aca="false">GiaDinh!$B$22*B7</f>
        <v>5720</v>
      </c>
    </row>
    <row r="11" customFormat="false" ht="15" hidden="false" customHeight="false" outlineLevel="0" collapsed="false">
      <c r="A11" s="5" t="s">
        <v>94</v>
      </c>
      <c r="B11" s="11" t="n">
        <f aca="false">GiaDinh!$B$24*(1-GiaDinh!$B$25)</f>
        <v>126420</v>
      </c>
    </row>
    <row r="12" customFormat="false" ht="15" hidden="false" customHeight="false" outlineLevel="0" collapsed="false">
      <c r="A12" s="5" t="s">
        <v>95</v>
      </c>
      <c r="B12" s="11" t="n">
        <f aca="false">B11-B9</f>
        <v>57780</v>
      </c>
      <c r="C12" s="2" t="s">
        <v>96</v>
      </c>
    </row>
    <row r="13" customFormat="false" ht="15" hidden="false" customHeight="false" outlineLevel="0" collapsed="false">
      <c r="A13" s="5" t="s">
        <v>97</v>
      </c>
      <c r="B13" s="12" t="n">
        <f aca="false">B12/B11</f>
        <v>0.457047935453251</v>
      </c>
    </row>
    <row r="14" customFormat="false" ht="15" hidden="false" customHeight="false" outlineLevel="0" collapsed="false">
      <c r="A14" s="3" t="s">
        <v>98</v>
      </c>
      <c r="B14" s="4"/>
      <c r="C14" s="4"/>
    </row>
    <row r="15" customFormat="false" ht="15" hidden="false" customHeight="false" outlineLevel="0" collapsed="false">
      <c r="A15" s="5" t="s">
        <v>99</v>
      </c>
      <c r="B15" s="13" t="n">
        <f aca="false">(1-GiaDinh!$B$27)/GiaDinh!$B$27</f>
        <v>15.6666666666667</v>
      </c>
      <c r="C15" s="2" t="s">
        <v>100</v>
      </c>
    </row>
    <row r="16" customFormat="false" ht="15" hidden="false" customHeight="false" outlineLevel="0" collapsed="false">
      <c r="A16" s="5" t="s">
        <v>101</v>
      </c>
      <c r="B16" s="11" t="n">
        <f aca="false">B15*B10</f>
        <v>89613.3333333333</v>
      </c>
    </row>
    <row r="17" customFormat="false" ht="15" hidden="false" customHeight="false" outlineLevel="0" collapsed="false">
      <c r="A17" s="14" t="s">
        <v>102</v>
      </c>
      <c r="B17" s="15" t="n">
        <f aca="false">B12-B16</f>
        <v>-31833.3333333333</v>
      </c>
      <c r="C17" s="16" t="s">
        <v>103</v>
      </c>
    </row>
    <row r="18" customFormat="false" ht="15" hidden="false" customHeight="false" outlineLevel="0" collapsed="false">
      <c r="A18" s="5" t="s">
        <v>104</v>
      </c>
      <c r="B18" s="13" t="n">
        <f aca="false">1/GiaDinh!$B$28</f>
        <v>12.5</v>
      </c>
      <c r="C18" s="2" t="s">
        <v>105</v>
      </c>
    </row>
    <row r="19" customFormat="false" ht="15" hidden="false" customHeight="false" outlineLevel="0" collapsed="false">
      <c r="A19" s="5" t="s">
        <v>106</v>
      </c>
      <c r="B19" s="11" t="n">
        <f aca="false">B12*B18</f>
        <v>722250</v>
      </c>
    </row>
    <row r="20" customFormat="false" ht="15" hidden="false" customHeight="false" outlineLevel="0" collapsed="false">
      <c r="A20" s="5" t="s">
        <v>107</v>
      </c>
      <c r="B20" s="11" t="n">
        <f aca="false">GiaDinh!$B$30/GiaDinh!$B$27</f>
        <v>1000000</v>
      </c>
      <c r="C20" s="2" t="s">
        <v>108</v>
      </c>
    </row>
    <row r="21" customFormat="false" ht="15" hidden="false" customHeight="false" outlineLevel="0" collapsed="false">
      <c r="A21" s="5" t="s">
        <v>109</v>
      </c>
      <c r="B21" s="17" t="n">
        <f aca="false">B19/B20</f>
        <v>0.72225</v>
      </c>
      <c r="C21" s="2" t="s">
        <v>110</v>
      </c>
    </row>
    <row r="22" customFormat="false" ht="15" hidden="false" customHeight="false" outlineLevel="0" collapsed="false">
      <c r="A22" s="5" t="s">
        <v>111</v>
      </c>
      <c r="B22" s="13" t="n">
        <f aca="false">IF(B12&gt;0,B20/B12,9999)</f>
        <v>17.3070266528211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18" t="s">
        <v>113</v>
      </c>
      <c r="B3" s="19" t="s">
        <v>114</v>
      </c>
      <c r="C3" s="19" t="s">
        <v>115</v>
      </c>
      <c r="D3" s="19" t="s">
        <v>116</v>
      </c>
      <c r="E3" s="19" t="s">
        <v>117</v>
      </c>
      <c r="F3" s="19" t="s">
        <v>118</v>
      </c>
      <c r="G3" s="19" t="s">
        <v>119</v>
      </c>
      <c r="H3" s="19" t="s">
        <v>120</v>
      </c>
      <c r="I3" s="19" t="s">
        <v>121</v>
      </c>
      <c r="J3" s="19" t="s">
        <v>122</v>
      </c>
      <c r="K3" s="19" t="s">
        <v>123</v>
      </c>
      <c r="L3" s="19" t="s">
        <v>124</v>
      </c>
      <c r="M3" s="19" t="s">
        <v>125</v>
      </c>
      <c r="N3" s="19" t="s">
        <v>126</v>
      </c>
      <c r="O3" s="19" t="s">
        <v>127</v>
      </c>
      <c r="P3" s="19" t="s">
        <v>128</v>
      </c>
      <c r="Q3" s="19" t="s">
        <v>129</v>
      </c>
      <c r="R3" s="19" t="s">
        <v>130</v>
      </c>
      <c r="S3" s="19" t="s">
        <v>131</v>
      </c>
      <c r="T3" s="19" t="s">
        <v>132</v>
      </c>
      <c r="U3" s="19" t="s">
        <v>133</v>
      </c>
      <c r="V3" s="19" t="s">
        <v>134</v>
      </c>
      <c r="W3" s="19" t="s">
        <v>135</v>
      </c>
      <c r="X3" s="19" t="s">
        <v>136</v>
      </c>
      <c r="Y3" s="19" t="s">
        <v>137</v>
      </c>
    </row>
    <row r="4" customFormat="false" ht="15" hidden="false" customHeight="false" outlineLevel="0" collapsed="false">
      <c r="A4" s="5" t="s">
        <v>138</v>
      </c>
      <c r="B4" s="20" t="n">
        <f aca="false">GiaDinh!$B$31</f>
        <v>1000</v>
      </c>
      <c r="C4" s="20" t="n">
        <f aca="false">B4*(1+GiaDinh!$B$32)</f>
        <v>1200</v>
      </c>
      <c r="D4" s="20" t="n">
        <f aca="false">C4*(1+GiaDinh!$B$32)</f>
        <v>1440</v>
      </c>
      <c r="E4" s="20" t="n">
        <f aca="false">D4*(1+GiaDinh!$B$32)</f>
        <v>1728</v>
      </c>
      <c r="F4" s="20" t="n">
        <f aca="false">E4*(1+GiaDinh!$B$32)</f>
        <v>2073.6</v>
      </c>
      <c r="G4" s="20" t="n">
        <f aca="false">F4*(1+GiaDinh!$B$32)</f>
        <v>2488.32</v>
      </c>
      <c r="H4" s="20" t="n">
        <f aca="false">G4*(1+GiaDinh!$B$32)</f>
        <v>2985.984</v>
      </c>
      <c r="I4" s="20" t="n">
        <f aca="false">H4*(1+GiaDinh!$B$32)</f>
        <v>3583.1808</v>
      </c>
      <c r="J4" s="20" t="n">
        <f aca="false">I4*(1+GiaDinh!$B$32)</f>
        <v>4299.81696</v>
      </c>
      <c r="K4" s="20" t="n">
        <f aca="false">J4*(1+GiaDinh!$B$32)</f>
        <v>5159.780352</v>
      </c>
      <c r="L4" s="20" t="n">
        <f aca="false">K4*(1+GiaDinh!$B$32)</f>
        <v>6191.7364224</v>
      </c>
      <c r="M4" s="20" t="n">
        <f aca="false">L4*(1+GiaDinh!$B$32)</f>
        <v>7430.08370688</v>
      </c>
      <c r="N4" s="20" t="n">
        <f aca="false">M4*(1+GiaDinh!$B$32)</f>
        <v>8916.100448256</v>
      </c>
      <c r="O4" s="20" t="n">
        <f aca="false">N4*(1+GiaDinh!$B$32)</f>
        <v>10699.3205379072</v>
      </c>
      <c r="P4" s="20" t="n">
        <f aca="false">O4*(1+GiaDinh!$B$32)</f>
        <v>12839.1846454886</v>
      </c>
      <c r="Q4" s="20" t="n">
        <f aca="false">P4*(1+GiaDinh!$B$32)</f>
        <v>15407.0215745864</v>
      </c>
      <c r="R4" s="20" t="n">
        <f aca="false">Q4*(1+GiaDinh!$B$32)</f>
        <v>18488.4258895036</v>
      </c>
      <c r="S4" s="20" t="n">
        <f aca="false">R4*(1+GiaDinh!$B$32)</f>
        <v>22186.1110674044</v>
      </c>
      <c r="T4" s="20" t="n">
        <f aca="false">S4*(1+GiaDinh!$B$32)</f>
        <v>26623.3332808852</v>
      </c>
      <c r="U4" s="20" t="n">
        <f aca="false">T4*(1+GiaDinh!$B$32)</f>
        <v>31947.9999370623</v>
      </c>
      <c r="V4" s="20" t="n">
        <f aca="false">U4*(1+GiaDinh!$B$32)</f>
        <v>38337.5999244747</v>
      </c>
      <c r="W4" s="20" t="n">
        <f aca="false">V4*(1+GiaDinh!$B$32)</f>
        <v>46005.1199093697</v>
      </c>
      <c r="X4" s="20" t="n">
        <f aca="false">W4*(1+GiaDinh!$B$32)</f>
        <v>55206.1438912436</v>
      </c>
      <c r="Y4" s="20" t="n">
        <f aca="false">X4*(1+GiaDinh!$B$32)</f>
        <v>66247.3726694923</v>
      </c>
    </row>
    <row r="5" customFormat="false" ht="15" hidden="false" customHeight="false" outlineLevel="0" collapsed="false">
      <c r="A5" s="5" t="s">
        <v>139</v>
      </c>
      <c r="B5" s="20" t="n">
        <f aca="false">B4*GiaDinh!$B$27</f>
        <v>60</v>
      </c>
      <c r="C5" s="20" t="n">
        <f aca="false">C4*GiaDinh!$B$27</f>
        <v>72</v>
      </c>
      <c r="D5" s="20" t="n">
        <f aca="false">D4*GiaDinh!$B$27</f>
        <v>86.4</v>
      </c>
      <c r="E5" s="20" t="n">
        <f aca="false">E4*GiaDinh!$B$27</f>
        <v>103.68</v>
      </c>
      <c r="F5" s="20" t="n">
        <f aca="false">F4*GiaDinh!$B$27</f>
        <v>124.416</v>
      </c>
      <c r="G5" s="20" t="n">
        <f aca="false">G4*GiaDinh!$B$27</f>
        <v>149.2992</v>
      </c>
      <c r="H5" s="20" t="n">
        <f aca="false">H4*GiaDinh!$B$27</f>
        <v>179.15904</v>
      </c>
      <c r="I5" s="20" t="n">
        <f aca="false">I4*GiaDinh!$B$27</f>
        <v>214.990848</v>
      </c>
      <c r="J5" s="20" t="n">
        <f aca="false">J4*GiaDinh!$B$27</f>
        <v>257.9890176</v>
      </c>
      <c r="K5" s="20" t="n">
        <f aca="false">K4*GiaDinh!$B$27</f>
        <v>309.58682112</v>
      </c>
      <c r="L5" s="20" t="n">
        <f aca="false">L4*GiaDinh!$B$27</f>
        <v>371.504185344</v>
      </c>
      <c r="M5" s="20" t="n">
        <f aca="false">M4*GiaDinh!$B$27</f>
        <v>445.8050224128</v>
      </c>
      <c r="N5" s="20" t="n">
        <f aca="false">N4*GiaDinh!$B$27</f>
        <v>534.96602689536</v>
      </c>
      <c r="O5" s="20" t="n">
        <f aca="false">O4*GiaDinh!$B$27</f>
        <v>641.959232274432</v>
      </c>
      <c r="P5" s="20" t="n">
        <f aca="false">P4*GiaDinh!$B$27</f>
        <v>770.351078729318</v>
      </c>
      <c r="Q5" s="20" t="n">
        <f aca="false">Q4*GiaDinh!$B$27</f>
        <v>924.421294475182</v>
      </c>
      <c r="R5" s="20" t="n">
        <f aca="false">R4*GiaDinh!$B$27</f>
        <v>1109.30555337022</v>
      </c>
      <c r="S5" s="20" t="n">
        <f aca="false">S4*GiaDinh!$B$27</f>
        <v>1331.16666404426</v>
      </c>
      <c r="T5" s="20" t="n">
        <f aca="false">T4*GiaDinh!$B$27</f>
        <v>1597.39999685311</v>
      </c>
      <c r="U5" s="20" t="n">
        <f aca="false">U4*GiaDinh!$B$27</f>
        <v>1916.87999622374</v>
      </c>
      <c r="V5" s="20" t="n">
        <f aca="false">V4*GiaDinh!$B$27</f>
        <v>2300.25599546848</v>
      </c>
      <c r="W5" s="20" t="n">
        <f aca="false">W4*GiaDinh!$B$27</f>
        <v>2760.30719456218</v>
      </c>
      <c r="X5" s="20" t="n">
        <f aca="false">X4*GiaDinh!$B$27</f>
        <v>3312.36863347462</v>
      </c>
      <c r="Y5" s="20" t="n">
        <f aca="false">Y4*GiaDinh!$B$27</f>
        <v>3974.84236016954</v>
      </c>
    </row>
    <row r="6" customFormat="false" ht="15" hidden="false" customHeight="false" outlineLevel="0" collapsed="false">
      <c r="A6" s="9" t="s">
        <v>140</v>
      </c>
      <c r="B6" s="20" t="n">
        <f aca="false">B5</f>
        <v>60</v>
      </c>
      <c r="C6" s="20" t="n">
        <f aca="false">B6*(1-GiaDinh!$B$28)+C5</f>
        <v>127.2</v>
      </c>
      <c r="D6" s="20" t="n">
        <f aca="false">C6*(1-GiaDinh!$B$28)+D5</f>
        <v>203.424</v>
      </c>
      <c r="E6" s="20" t="n">
        <f aca="false">D6*(1-GiaDinh!$B$28)+E5</f>
        <v>290.83008</v>
      </c>
      <c r="F6" s="20" t="n">
        <f aca="false">E6*(1-GiaDinh!$B$28)+F5</f>
        <v>391.9796736</v>
      </c>
      <c r="G6" s="20" t="n">
        <f aca="false">F6*(1-GiaDinh!$B$28)+G5</f>
        <v>509.920499712</v>
      </c>
      <c r="H6" s="20" t="n">
        <f aca="false">G6*(1-GiaDinh!$B$28)+H5</f>
        <v>648.28589973504</v>
      </c>
      <c r="I6" s="20" t="n">
        <f aca="false">H6*(1-GiaDinh!$B$28)+I5</f>
        <v>811.413875756237</v>
      </c>
      <c r="J6" s="20" t="n">
        <f aca="false">I6*(1-GiaDinh!$B$28)+J5</f>
        <v>1004.48978329574</v>
      </c>
      <c r="K6" s="20" t="n">
        <f aca="false">J6*(1-GiaDinh!$B$28)+K5</f>
        <v>1233.71742175208</v>
      </c>
      <c r="L6" s="20" t="n">
        <f aca="false">K6*(1-GiaDinh!$B$28)+L5</f>
        <v>1506.52421335591</v>
      </c>
      <c r="M6" s="20" t="n">
        <f aca="false">L6*(1-GiaDinh!$B$28)+M5</f>
        <v>1831.80729870024</v>
      </c>
      <c r="N6" s="20" t="n">
        <f aca="false">M6*(1-GiaDinh!$B$28)+N5</f>
        <v>2220.22874169958</v>
      </c>
      <c r="O6" s="20" t="n">
        <f aca="false">N6*(1-GiaDinh!$B$28)+O5</f>
        <v>2684.56967463805</v>
      </c>
      <c r="P6" s="20" t="n">
        <f aca="false">O6*(1-GiaDinh!$B$28)+P5</f>
        <v>3240.15517939632</v>
      </c>
      <c r="Q6" s="20" t="n">
        <f aca="false">P6*(1-GiaDinh!$B$28)+Q5</f>
        <v>3905.3640595198</v>
      </c>
      <c r="R6" s="20" t="n">
        <f aca="false">Q6*(1-GiaDinh!$B$28)+R5</f>
        <v>4702.24048812843</v>
      </c>
      <c r="S6" s="20" t="n">
        <f aca="false">R6*(1-GiaDinh!$B$28)+S5</f>
        <v>5657.22791312242</v>
      </c>
      <c r="T6" s="20" t="n">
        <f aca="false">S6*(1-GiaDinh!$B$28)+T5</f>
        <v>6802.04967692574</v>
      </c>
      <c r="U6" s="20" t="n">
        <f aca="false">T6*(1-GiaDinh!$B$28)+U5</f>
        <v>8174.76569899542</v>
      </c>
      <c r="V6" s="20" t="n">
        <f aca="false">U6*(1-GiaDinh!$B$28)+V5</f>
        <v>9821.04043854427</v>
      </c>
      <c r="W6" s="20" t="n">
        <f aca="false">V6*(1-GiaDinh!$B$28)+W5</f>
        <v>11795.6643980229</v>
      </c>
      <c r="X6" s="20" t="n">
        <f aca="false">W6*(1-GiaDinh!$B$28)+X5</f>
        <v>14164.3798796557</v>
      </c>
      <c r="Y6" s="20" t="n">
        <f aca="false">X6*(1-GiaDinh!$B$28)+Y5</f>
        <v>17006.0718494528</v>
      </c>
    </row>
    <row r="7" customFormat="false" ht="15" hidden="false" customHeight="false" outlineLevel="0" collapsed="false">
      <c r="A7" s="5" t="s">
        <v>141</v>
      </c>
      <c r="B7" s="20" t="n">
        <f aca="false">B4-B5</f>
        <v>940</v>
      </c>
      <c r="C7" s="20" t="n">
        <f aca="false">B7*(1-GiaDinh!$B$29)+C4-C5</f>
        <v>1927</v>
      </c>
      <c r="D7" s="20" t="n">
        <f aca="false">C7*(1-GiaDinh!$B$29)+D4-D5</f>
        <v>2991.55</v>
      </c>
      <c r="E7" s="20" t="n">
        <f aca="false">D7*(1-GiaDinh!$B$29)+E4-E5</f>
        <v>4167.1375</v>
      </c>
      <c r="F7" s="20" t="n">
        <f aca="false">E7*(1-GiaDinh!$B$29)+F4-F5</f>
        <v>5491.250875</v>
      </c>
      <c r="G7" s="20" t="n">
        <f aca="false">F7*(1-GiaDinh!$B$29)+G4-G5</f>
        <v>7006.58404375</v>
      </c>
      <c r="H7" s="20" t="n">
        <f aca="false">G7*(1-GiaDinh!$B$29)+H4-H5</f>
        <v>8762.4213971875</v>
      </c>
      <c r="I7" s="20" t="n">
        <f aca="false">H7*(1-GiaDinh!$B$29)+I4-I5</f>
        <v>10816.2481396094</v>
      </c>
      <c r="J7" s="20" t="n">
        <f aca="false">I7*(1-GiaDinh!$B$29)+J4-J5</f>
        <v>13235.638861068</v>
      </c>
      <c r="K7" s="20" t="n">
        <f aca="false">J7*(1-GiaDinh!$B$29)+K4-K5</f>
        <v>16100.4865627878</v>
      </c>
      <c r="L7" s="20" t="n">
        <f aca="false">K7*(1-GiaDinh!$B$29)+L4-L5</f>
        <v>19505.6458154256</v>
      </c>
      <c r="M7" s="20" t="n">
        <f aca="false">L7*(1-GiaDinh!$B$29)+M4-M5</f>
        <v>23564.077627579</v>
      </c>
      <c r="N7" s="20" t="n">
        <f aca="false">M7*(1-GiaDinh!$B$29)+N4-N5</f>
        <v>28410.6004048028</v>
      </c>
      <c r="O7" s="20" t="n">
        <f aca="false">N7*(1-GiaDinh!$B$29)+O4-O5</f>
        <v>34206.3716497151</v>
      </c>
      <c r="P7" s="20" t="n">
        <f aca="false">O7*(1-GiaDinh!$B$29)+P4-P5</f>
        <v>41144.2494690172</v>
      </c>
      <c r="Q7" s="20" t="n">
        <f aca="false">P7*(1-GiaDinh!$B$29)+Q4-Q5</f>
        <v>49455.2123287758</v>
      </c>
      <c r="R7" s="20" t="n">
        <f aca="false">Q7*(1-GiaDinh!$B$29)+R4-R5</f>
        <v>59416.0508155928</v>
      </c>
      <c r="S7" s="20" t="n">
        <f aca="false">R7*(1-GiaDinh!$B$29)+S4-S5</f>
        <v>71358.587596614</v>
      </c>
      <c r="T7" s="20" t="n">
        <f aca="false">S7*(1-GiaDinh!$B$29)+T4-T5</f>
        <v>85680.732741154</v>
      </c>
      <c r="U7" s="20" t="n">
        <f aca="false">T7*(1-GiaDinh!$B$29)+U4-U5</f>
        <v>102859.742770819</v>
      </c>
      <c r="V7" s="20" t="n">
        <f aca="false">U7*(1-GiaDinh!$B$29)+V4-V5</f>
        <v>123468.125284203</v>
      </c>
      <c r="W7" s="20" t="n">
        <f aca="false">V7*(1-GiaDinh!$B$29)+W4-W5</f>
        <v>148192.71920638</v>
      </c>
      <c r="X7" s="20" t="n">
        <f aca="false">W7*(1-GiaDinh!$B$29)+X4-X5</f>
        <v>177857.586583192</v>
      </c>
      <c r="Y7" s="20" t="n">
        <f aca="false">X7*(1-GiaDinh!$B$29)+Y4-Y5</f>
        <v>213451.478905036</v>
      </c>
    </row>
    <row r="9" customFormat="false" ht="15" hidden="false" customHeight="false" outlineLevel="0" collapsed="false">
      <c r="A9" s="21" t="s">
        <v>142</v>
      </c>
      <c r="B9" s="22" t="n">
        <f aca="false">B6*GiaDinh!$B$24</f>
        <v>7740000</v>
      </c>
      <c r="C9" s="22" t="n">
        <f aca="false">C6*GiaDinh!$B$24</f>
        <v>16408800</v>
      </c>
      <c r="D9" s="22" t="n">
        <f aca="false">D6*GiaDinh!$B$24</f>
        <v>26241696</v>
      </c>
      <c r="E9" s="22" t="n">
        <f aca="false">E6*GiaDinh!$B$24</f>
        <v>37517080.32</v>
      </c>
      <c r="F9" s="22" t="n">
        <f aca="false">F6*GiaDinh!$B$24</f>
        <v>50565377.8944</v>
      </c>
      <c r="G9" s="22" t="n">
        <f aca="false">G6*GiaDinh!$B$24</f>
        <v>65779744.462848</v>
      </c>
      <c r="H9" s="22" t="n">
        <f aca="false">H6*GiaDinh!$B$24</f>
        <v>83628881.0658202</v>
      </c>
      <c r="I9" s="22" t="n">
        <f aca="false">I6*GiaDinh!$B$24</f>
        <v>104672389.972555</v>
      </c>
      <c r="J9" s="22" t="n">
        <f aca="false">J6*GiaDinh!$B$24</f>
        <v>129579182.04515</v>
      </c>
      <c r="K9" s="22" t="n">
        <f aca="false">K6*GiaDinh!$B$24</f>
        <v>159149547.406018</v>
      </c>
      <c r="L9" s="22" t="n">
        <f aca="false">L6*GiaDinh!$B$24</f>
        <v>194341623.522913</v>
      </c>
      <c r="M9" s="22" t="n">
        <f aca="false">M6*GiaDinh!$B$24</f>
        <v>236303141.532331</v>
      </c>
      <c r="N9" s="22" t="n">
        <f aca="false">N6*GiaDinh!$B$24</f>
        <v>286409507.679246</v>
      </c>
      <c r="O9" s="22" t="n">
        <f aca="false">O6*GiaDinh!$B$24</f>
        <v>346309488.028308</v>
      </c>
      <c r="P9" s="22" t="n">
        <f aca="false">P6*GiaDinh!$B$24</f>
        <v>417980018.142125</v>
      </c>
      <c r="Q9" s="22" t="n">
        <f aca="false">Q6*GiaDinh!$B$24</f>
        <v>503791963.678054</v>
      </c>
      <c r="R9" s="22" t="n">
        <f aca="false">R6*GiaDinh!$B$24</f>
        <v>606589022.968568</v>
      </c>
      <c r="S9" s="22" t="n">
        <f aca="false">S6*GiaDinh!$B$24</f>
        <v>729782400.792792</v>
      </c>
      <c r="T9" s="22" t="n">
        <f aca="false">T6*GiaDinh!$B$24</f>
        <v>877464408.32342</v>
      </c>
      <c r="U9" s="22" t="n">
        <f aca="false">U6*GiaDinh!$B$24</f>
        <v>1054544775.17041</v>
      </c>
      <c r="V9" s="22" t="n">
        <f aca="false">V6*GiaDinh!$B$24</f>
        <v>1266914216.57221</v>
      </c>
      <c r="W9" s="22" t="n">
        <f aca="false">W6*GiaDinh!$B$24</f>
        <v>1521640707.34495</v>
      </c>
      <c r="X9" s="22" t="n">
        <f aca="false">X6*GiaDinh!$B$24</f>
        <v>1827205004.47558</v>
      </c>
      <c r="Y9" s="22" t="n">
        <f aca="false">Y6*GiaDinh!$B$24</f>
        <v>2193783268.57941</v>
      </c>
    </row>
    <row r="10" customFormat="false" ht="15" hidden="false" customHeight="false" outlineLevel="0" collapsed="false">
      <c r="A10" s="5" t="s">
        <v>143</v>
      </c>
      <c r="B10" s="20" t="n">
        <f aca="false">-B9*GiaDinh!$B$25</f>
        <v>-154800</v>
      </c>
      <c r="C10" s="20" t="n">
        <f aca="false">-C9*GiaDinh!$B$25</f>
        <v>-328176</v>
      </c>
      <c r="D10" s="20" t="n">
        <f aca="false">-D9*GiaDinh!$B$25</f>
        <v>-524833.92</v>
      </c>
      <c r="E10" s="20" t="n">
        <f aca="false">-E9*GiaDinh!$B$25</f>
        <v>-750341.6064</v>
      </c>
      <c r="F10" s="20" t="n">
        <f aca="false">-F9*GiaDinh!$B$25</f>
        <v>-1011307.557888</v>
      </c>
      <c r="G10" s="20" t="n">
        <f aca="false">-G9*GiaDinh!$B$25</f>
        <v>-1315594.88925696</v>
      </c>
      <c r="H10" s="20" t="n">
        <f aca="false">-H9*GiaDinh!$B$25</f>
        <v>-1672577.6213164</v>
      </c>
      <c r="I10" s="20" t="n">
        <f aca="false">-I9*GiaDinh!$B$25</f>
        <v>-2093447.79945109</v>
      </c>
      <c r="J10" s="20" t="n">
        <f aca="false">-J9*GiaDinh!$B$25</f>
        <v>-2591583.640903</v>
      </c>
      <c r="K10" s="20" t="n">
        <f aca="false">-K9*GiaDinh!$B$25</f>
        <v>-3182990.94812036</v>
      </c>
      <c r="L10" s="20" t="n">
        <f aca="false">-L9*GiaDinh!$B$25</f>
        <v>-3886832.47045825</v>
      </c>
      <c r="M10" s="20" t="n">
        <f aca="false">-M9*GiaDinh!$B$25</f>
        <v>-4726062.83064662</v>
      </c>
      <c r="N10" s="20" t="n">
        <f aca="false">-N9*GiaDinh!$B$25</f>
        <v>-5728190.15358492</v>
      </c>
      <c r="O10" s="20" t="n">
        <f aca="false">-O9*GiaDinh!$B$25</f>
        <v>-6926189.76056616</v>
      </c>
      <c r="P10" s="20" t="n">
        <f aca="false">-P9*GiaDinh!$B$25</f>
        <v>-8359600.36284251</v>
      </c>
      <c r="Q10" s="20" t="n">
        <f aca="false">-Q9*GiaDinh!$B$25</f>
        <v>-10075839.2735611</v>
      </c>
      <c r="R10" s="20" t="n">
        <f aca="false">-R9*GiaDinh!$B$25</f>
        <v>-12131780.4593714</v>
      </c>
      <c r="S10" s="20" t="n">
        <f aca="false">-S9*GiaDinh!$B$25</f>
        <v>-14595648.0158558</v>
      </c>
      <c r="T10" s="20" t="n">
        <f aca="false">-T9*GiaDinh!$B$25</f>
        <v>-17549288.1664684</v>
      </c>
      <c r="U10" s="20" t="n">
        <f aca="false">-U9*GiaDinh!$B$25</f>
        <v>-21090895.5034082</v>
      </c>
      <c r="V10" s="20" t="n">
        <f aca="false">-V9*GiaDinh!$B$25</f>
        <v>-25338284.3314442</v>
      </c>
      <c r="W10" s="20" t="n">
        <f aca="false">-W9*GiaDinh!$B$25</f>
        <v>-30432814.1468991</v>
      </c>
      <c r="X10" s="20" t="n">
        <f aca="false">-X9*GiaDinh!$B$25</f>
        <v>-36544100.0895117</v>
      </c>
      <c r="Y10" s="20" t="n">
        <f aca="false">-Y9*GiaDinh!$B$25</f>
        <v>-43875665.3715882</v>
      </c>
    </row>
    <row r="11" customFormat="false" ht="15" hidden="false" customHeight="false" outlineLevel="0" collapsed="false">
      <c r="A11" s="5" t="s">
        <v>144</v>
      </c>
      <c r="B11" s="20" t="n">
        <f aca="false">-B6*DonViKinhTe!$B$9</f>
        <v>-4118400</v>
      </c>
      <c r="C11" s="20" t="n">
        <f aca="false">-C6*DonViKinhTe!$B$9</f>
        <v>-8731008</v>
      </c>
      <c r="D11" s="20" t="n">
        <f aca="false">-D6*DonViKinhTe!$B$9</f>
        <v>-13963023.36</v>
      </c>
      <c r="E11" s="20" t="n">
        <f aca="false">-E6*DonViKinhTe!$B$9</f>
        <v>-19962576.6912</v>
      </c>
      <c r="F11" s="20" t="n">
        <f aca="false">-F6*DonViKinhTe!$B$9</f>
        <v>-26905484.795904</v>
      </c>
      <c r="G11" s="20" t="n">
        <f aca="false">-G6*DonViKinhTe!$B$9</f>
        <v>-35000943.1002317</v>
      </c>
      <c r="H11" s="20" t="n">
        <f aca="false">-H6*DonViKinhTe!$B$9</f>
        <v>-44498344.1578132</v>
      </c>
      <c r="I11" s="20" t="n">
        <f aca="false">-I6*DonViKinhTe!$B$9</f>
        <v>-55695448.4319081</v>
      </c>
      <c r="J11" s="20" t="n">
        <f aca="false">-J6*DonViKinhTe!$B$9</f>
        <v>-68948178.7254195</v>
      </c>
      <c r="K11" s="20" t="n">
        <f aca="false">-K6*DonViKinhTe!$B$9</f>
        <v>-84682363.8290627</v>
      </c>
      <c r="L11" s="20" t="n">
        <f aca="false">-L6*DonViKinhTe!$B$9</f>
        <v>-103407822.00475</v>
      </c>
      <c r="M11" s="20" t="n">
        <f aca="false">-M6*DonViKinhTe!$B$9</f>
        <v>-125735252.982784</v>
      </c>
      <c r="N11" s="20" t="n">
        <f aca="false">-N6*DonViKinhTe!$B$9</f>
        <v>-152396500.830259</v>
      </c>
      <c r="O11" s="20" t="n">
        <f aca="false">-O6*DonViKinhTe!$B$9</f>
        <v>-184268862.467156</v>
      </c>
      <c r="P11" s="20" t="n">
        <f aca="false">-P6*DonViKinhTe!$B$9</f>
        <v>-222404251.513763</v>
      </c>
      <c r="Q11" s="20" t="n">
        <f aca="false">-Q6*DonViKinhTe!$B$9</f>
        <v>-268064189.045439</v>
      </c>
      <c r="R11" s="20" t="n">
        <f aca="false">-R6*DonViKinhTe!$B$9</f>
        <v>-322761787.105136</v>
      </c>
      <c r="S11" s="20" t="n">
        <f aca="false">-S6*DonViKinhTe!$B$9</f>
        <v>-388312123.956723</v>
      </c>
      <c r="T11" s="20" t="n">
        <f aca="false">-T6*DonViKinhTe!$B$9</f>
        <v>-466892689.824183</v>
      </c>
      <c r="U11" s="20" t="n">
        <f aca="false">-U6*DonViKinhTe!$B$9</f>
        <v>-561115917.579046</v>
      </c>
      <c r="V11" s="20" t="n">
        <f aca="false">-V6*DonViKinhTe!$B$9</f>
        <v>-674116215.701679</v>
      </c>
      <c r="W11" s="20" t="n">
        <f aca="false">-W6*DonViKinhTe!$B$9</f>
        <v>-809654404.280292</v>
      </c>
      <c r="X11" s="20" t="n">
        <f aca="false">-X6*DonViKinhTe!$B$9</f>
        <v>-972243034.939567</v>
      </c>
      <c r="Y11" s="20" t="n">
        <f aca="false">-Y6*DonViKinhTe!$B$9</f>
        <v>-1167296771.74644</v>
      </c>
    </row>
    <row r="12" customFormat="false" ht="15" hidden="false" customHeight="false" outlineLevel="0" collapsed="false">
      <c r="A12" s="5" t="s">
        <v>145</v>
      </c>
      <c r="B12" s="20" t="n">
        <f aca="false">-B7*DonViKinhTe!$B$10</f>
        <v>-5376800</v>
      </c>
      <c r="C12" s="20" t="n">
        <f aca="false">-C7*DonViKinhTe!$B$10</f>
        <v>-11022440</v>
      </c>
      <c r="D12" s="20" t="n">
        <f aca="false">-D7*DonViKinhTe!$B$10</f>
        <v>-17111666</v>
      </c>
      <c r="E12" s="20" t="n">
        <f aca="false">-E7*DonViKinhTe!$B$10</f>
        <v>-23836026.5</v>
      </c>
      <c r="F12" s="20" t="n">
        <f aca="false">-F7*DonViKinhTe!$B$10</f>
        <v>-31409955.005</v>
      </c>
      <c r="G12" s="20" t="n">
        <f aca="false">-G7*DonViKinhTe!$B$10</f>
        <v>-40077660.73025</v>
      </c>
      <c r="H12" s="20" t="n">
        <f aca="false">-H7*DonViKinhTe!$B$10</f>
        <v>-50121050.3919125</v>
      </c>
      <c r="I12" s="20" t="n">
        <f aca="false">-I7*DonViKinhTe!$B$10</f>
        <v>-61868939.3585656</v>
      </c>
      <c r="J12" s="20" t="n">
        <f aca="false">-J7*DonViKinhTe!$B$10</f>
        <v>-75707854.2853088</v>
      </c>
      <c r="K12" s="20" t="n">
        <f aca="false">-K7*DonViKinhTe!$B$10</f>
        <v>-92094783.139146</v>
      </c>
      <c r="L12" s="20" t="n">
        <f aca="false">-L7*DonViKinhTe!$B$10</f>
        <v>-111572294.064234</v>
      </c>
      <c r="M12" s="20" t="n">
        <f aca="false">-M7*DonViKinhTe!$B$10</f>
        <v>-134786524.029752</v>
      </c>
      <c r="N12" s="20" t="n">
        <f aca="false">-N7*DonViKinhTe!$B$10</f>
        <v>-162508634.315472</v>
      </c>
      <c r="O12" s="20" t="n">
        <f aca="false">-O7*DonViKinhTe!$B$10</f>
        <v>-195660445.83637</v>
      </c>
      <c r="P12" s="20" t="n">
        <f aca="false">-P7*DonViKinhTe!$B$10</f>
        <v>-235345106.962778</v>
      </c>
      <c r="Q12" s="20" t="n">
        <f aca="false">-Q7*DonViKinhTe!$B$10</f>
        <v>-282883814.520597</v>
      </c>
      <c r="R12" s="20" t="n">
        <f aca="false">-R7*DonViKinhTe!$B$10</f>
        <v>-339859810.665191</v>
      </c>
      <c r="S12" s="20" t="n">
        <f aca="false">-S7*DonViKinhTe!$B$10</f>
        <v>-408171121.052632</v>
      </c>
      <c r="T12" s="20" t="n">
        <f aca="false">-T7*DonViKinhTe!$B$10</f>
        <v>-490093791.279401</v>
      </c>
      <c r="U12" s="20" t="n">
        <f aca="false">-U7*DonViKinhTe!$B$10</f>
        <v>-588357728.649087</v>
      </c>
      <c r="V12" s="20" t="n">
        <f aca="false">-V7*DonViKinhTe!$B$10</f>
        <v>-706237676.62564</v>
      </c>
      <c r="W12" s="20" t="n">
        <f aca="false">-W7*DonViKinhTe!$B$10</f>
        <v>-847662353.860493</v>
      </c>
      <c r="X12" s="20" t="n">
        <f aca="false">-X7*DonViKinhTe!$B$10</f>
        <v>-1017345395.25586</v>
      </c>
      <c r="Y12" s="20" t="n">
        <f aca="false">-Y7*DonViKinhTe!$B$10</f>
        <v>-1220942459.3368</v>
      </c>
    </row>
    <row r="13" customFormat="false" ht="15" hidden="false" customHeight="false" outlineLevel="0" collapsed="false">
      <c r="A13" s="9" t="s">
        <v>146</v>
      </c>
      <c r="B13" s="23" t="n">
        <f aca="false">B9+B10+B11+B12</f>
        <v>-1910000</v>
      </c>
      <c r="C13" s="23" t="n">
        <f aca="false">C9+C10+C11+C12</f>
        <v>-3672824</v>
      </c>
      <c r="D13" s="23" t="n">
        <f aca="false">D9+D10+D11+D12</f>
        <v>-5357827.28</v>
      </c>
      <c r="E13" s="23" t="n">
        <f aca="false">E9+E10+E11+E12</f>
        <v>-7031864.4776</v>
      </c>
      <c r="F13" s="23" t="n">
        <f aca="false">F9+F10+F11+F12</f>
        <v>-8761369.464392</v>
      </c>
      <c r="G13" s="23" t="n">
        <f aca="false">G9+G10+G11+G12</f>
        <v>-10614454.2568906</v>
      </c>
      <c r="H13" s="23" t="n">
        <f aca="false">H9+H10+H11+H12</f>
        <v>-12663091.1052219</v>
      </c>
      <c r="I13" s="23" t="n">
        <f aca="false">I9+I10+I11+I12</f>
        <v>-14985445.6173703</v>
      </c>
      <c r="J13" s="23" t="n">
        <f aca="false">J9+J10+J11+J12</f>
        <v>-17668434.606481</v>
      </c>
      <c r="K13" s="23" t="n">
        <f aca="false">K9+K10+K11+K12</f>
        <v>-20810590.5103109</v>
      </c>
      <c r="L13" s="23" t="n">
        <f aca="false">L9+L10+L11+L12</f>
        <v>-24525325.0165298</v>
      </c>
      <c r="M13" s="23" t="n">
        <f aca="false">M9+M10+M11+M12</f>
        <v>-28944698.3108518</v>
      </c>
      <c r="N13" s="23" t="n">
        <f aca="false">N9+N10+N11+N12</f>
        <v>-34223817.62007</v>
      </c>
      <c r="O13" s="23" t="n">
        <f aca="false">O9+O10+O11+O12</f>
        <v>-40546010.0357842</v>
      </c>
      <c r="P13" s="23" t="n">
        <f aca="false">P9+P10+P11+P12</f>
        <v>-48128940.6972588</v>
      </c>
      <c r="Q13" s="23" t="n">
        <f aca="false">Q9+Q10+Q11+Q12</f>
        <v>-57231879.1615435</v>
      </c>
      <c r="R13" s="23" t="n">
        <f aca="false">R9+R10+R11+R12</f>
        <v>-68164355.2611301</v>
      </c>
      <c r="S13" s="23" t="n">
        <f aca="false">S9+S10+S11+S12</f>
        <v>-81296492.2324187</v>
      </c>
      <c r="T13" s="23" t="n">
        <f aca="false">T9+T10+T11+T12</f>
        <v>-97071360.9466318</v>
      </c>
      <c r="U13" s="23" t="n">
        <f aca="false">U9+U10+U11+U12</f>
        <v>-116019766.561132</v>
      </c>
      <c r="V13" s="23" t="n">
        <f aca="false">V9+V10+V11+V12</f>
        <v>-138777960.086552</v>
      </c>
      <c r="W13" s="23" t="n">
        <f aca="false">W9+W10+W11+W12</f>
        <v>-166108864.942729</v>
      </c>
      <c r="X13" s="23" t="n">
        <f aca="false">X9+X10+X11+X12</f>
        <v>-198927525.809352</v>
      </c>
      <c r="Y13" s="23" t="n">
        <f aca="false">Y9+Y10+Y11+Y12</f>
        <v>-238331627.875424</v>
      </c>
    </row>
    <row r="15" customFormat="false" ht="15" hidden="false" customHeight="false" outlineLevel="0" collapsed="false">
      <c r="A15" s="5" t="s">
        <v>147</v>
      </c>
      <c r="B15" s="20" t="n">
        <f aca="false">-B4*GiaDinh!$B$30</f>
        <v>-60000000</v>
      </c>
      <c r="C15" s="20" t="n">
        <f aca="false">-C4*GiaDinh!$B$30</f>
        <v>-72000000</v>
      </c>
      <c r="D15" s="20" t="n">
        <f aca="false">-D4*GiaDinh!$B$30</f>
        <v>-86400000</v>
      </c>
      <c r="E15" s="20" t="n">
        <f aca="false">-E4*GiaDinh!$B$30</f>
        <v>-103680000</v>
      </c>
      <c r="F15" s="20" t="n">
        <f aca="false">-F4*GiaDinh!$B$30</f>
        <v>-124416000</v>
      </c>
      <c r="G15" s="20" t="n">
        <f aca="false">-G4*GiaDinh!$B$30</f>
        <v>-149299200</v>
      </c>
      <c r="H15" s="20" t="n">
        <f aca="false">-H4*GiaDinh!$B$30</f>
        <v>-179159040</v>
      </c>
      <c r="I15" s="20" t="n">
        <f aca="false">-I4*GiaDinh!$B$30</f>
        <v>-214990848</v>
      </c>
      <c r="J15" s="20" t="n">
        <f aca="false">-J4*GiaDinh!$B$30</f>
        <v>-257989017.6</v>
      </c>
      <c r="K15" s="20" t="n">
        <f aca="false">-K4*GiaDinh!$B$30</f>
        <v>-309586821.12</v>
      </c>
      <c r="L15" s="20" t="n">
        <f aca="false">-L4*GiaDinh!$B$30</f>
        <v>-371504185.344</v>
      </c>
      <c r="M15" s="20" t="n">
        <f aca="false">-M4*GiaDinh!$B$30</f>
        <v>-445805022.4128</v>
      </c>
      <c r="N15" s="20" t="n">
        <f aca="false">-N4*GiaDinh!$B$30</f>
        <v>-534966026.89536</v>
      </c>
      <c r="O15" s="20" t="n">
        <f aca="false">-O4*GiaDinh!$B$30</f>
        <v>-641959232.274432</v>
      </c>
      <c r="P15" s="20" t="n">
        <f aca="false">-P4*GiaDinh!$B$30</f>
        <v>-770351078.729318</v>
      </c>
      <c r="Q15" s="20" t="n">
        <f aca="false">-Q4*GiaDinh!$B$30</f>
        <v>-924421294.475182</v>
      </c>
      <c r="R15" s="20" t="n">
        <f aca="false">-R4*GiaDinh!$B$30</f>
        <v>-1109305553.37022</v>
      </c>
      <c r="S15" s="20" t="n">
        <f aca="false">-S4*GiaDinh!$B$30</f>
        <v>-1331166664.04426</v>
      </c>
      <c r="T15" s="20" t="n">
        <f aca="false">-T4*GiaDinh!$B$30</f>
        <v>-1597399996.85311</v>
      </c>
      <c r="U15" s="20" t="n">
        <f aca="false">-U4*GiaDinh!$B$30</f>
        <v>-1916879996.22374</v>
      </c>
      <c r="V15" s="20" t="n">
        <f aca="false">-V4*GiaDinh!$B$30</f>
        <v>-2300255995.46848</v>
      </c>
      <c r="W15" s="20" t="n">
        <f aca="false">-W4*GiaDinh!$B$30</f>
        <v>-2760307194.56218</v>
      </c>
      <c r="X15" s="20" t="n">
        <f aca="false">-X4*GiaDinh!$B$30</f>
        <v>-3312368633.47462</v>
      </c>
      <c r="Y15" s="20" t="n">
        <f aca="false">-Y4*GiaDinh!$B$30</f>
        <v>-3974842360.16954</v>
      </c>
    </row>
    <row r="16" customFormat="false" ht="15" hidden="false" customHeight="false" outlineLevel="0" collapsed="false">
      <c r="A16" s="5" t="s">
        <v>148</v>
      </c>
      <c r="B16" s="20" t="n">
        <f aca="false">-GiaDinh!$B$34</f>
        <v>-80000000</v>
      </c>
      <c r="C16" s="20" t="n">
        <f aca="false">-GiaDinh!$B$34</f>
        <v>-80000000</v>
      </c>
      <c r="D16" s="20" t="n">
        <f aca="false">-GiaDinh!$B$34</f>
        <v>-80000000</v>
      </c>
      <c r="E16" s="20" t="n">
        <f aca="false">-GiaDinh!$B$34</f>
        <v>-80000000</v>
      </c>
      <c r="F16" s="20" t="n">
        <f aca="false">-GiaDinh!$B$34</f>
        <v>-80000000</v>
      </c>
      <c r="G16" s="20" t="n">
        <f aca="false">-GiaDinh!$B$34</f>
        <v>-80000000</v>
      </c>
      <c r="H16" s="20" t="n">
        <f aca="false">-GiaDinh!$B$34</f>
        <v>-80000000</v>
      </c>
      <c r="I16" s="20" t="n">
        <f aca="false">-GiaDinh!$B$34</f>
        <v>-80000000</v>
      </c>
      <c r="J16" s="20" t="n">
        <f aca="false">-GiaDinh!$B$34</f>
        <v>-80000000</v>
      </c>
      <c r="K16" s="20" t="n">
        <f aca="false">-GiaDinh!$B$34</f>
        <v>-80000000</v>
      </c>
      <c r="L16" s="20" t="n">
        <f aca="false">-GiaDinh!$B$34</f>
        <v>-80000000</v>
      </c>
      <c r="M16" s="20" t="n">
        <f aca="false">-GiaDinh!$B$34</f>
        <v>-80000000</v>
      </c>
      <c r="N16" s="20" t="n">
        <f aca="false">-GiaDinh!$B$34</f>
        <v>-80000000</v>
      </c>
      <c r="O16" s="20" t="n">
        <f aca="false">-GiaDinh!$B$34</f>
        <v>-80000000</v>
      </c>
      <c r="P16" s="20" t="n">
        <f aca="false">-GiaDinh!$B$34</f>
        <v>-80000000</v>
      </c>
      <c r="Q16" s="20" t="n">
        <f aca="false">-GiaDinh!$B$34</f>
        <v>-80000000</v>
      </c>
      <c r="R16" s="20" t="n">
        <f aca="false">-GiaDinh!$B$34</f>
        <v>-80000000</v>
      </c>
      <c r="S16" s="20" t="n">
        <f aca="false">-GiaDinh!$B$34</f>
        <v>-80000000</v>
      </c>
      <c r="T16" s="20" t="n">
        <f aca="false">-GiaDinh!$B$34</f>
        <v>-80000000</v>
      </c>
      <c r="U16" s="20" t="n">
        <f aca="false">-GiaDinh!$B$34</f>
        <v>-80000000</v>
      </c>
      <c r="V16" s="20" t="n">
        <f aca="false">-GiaDinh!$B$34</f>
        <v>-80000000</v>
      </c>
      <c r="W16" s="20" t="n">
        <f aca="false">-GiaDinh!$B$34</f>
        <v>-80000000</v>
      </c>
      <c r="X16" s="20" t="n">
        <f aca="false">-GiaDinh!$B$34</f>
        <v>-80000000</v>
      </c>
      <c r="Y16" s="20" t="n">
        <f aca="false">-GiaDinh!$B$34</f>
        <v>-80000000</v>
      </c>
    </row>
    <row r="17" customFormat="false" ht="15" hidden="false" customHeight="false" outlineLevel="0" collapsed="false">
      <c r="A17" s="5" t="s">
        <v>149</v>
      </c>
      <c r="B17" s="20" t="n">
        <f aca="false">-GiaDinh!$B$35</f>
        <v>-15000000</v>
      </c>
      <c r="C17" s="20" t="n">
        <f aca="false">-GiaDinh!$B$35</f>
        <v>-15000000</v>
      </c>
      <c r="D17" s="20" t="n">
        <f aca="false">-GiaDinh!$B$35</f>
        <v>-15000000</v>
      </c>
      <c r="E17" s="20" t="n">
        <f aca="false">-GiaDinh!$B$35</f>
        <v>-15000000</v>
      </c>
      <c r="F17" s="20" t="n">
        <f aca="false">-GiaDinh!$B$35</f>
        <v>-15000000</v>
      </c>
      <c r="G17" s="20" t="n">
        <f aca="false">-GiaDinh!$B$35</f>
        <v>-15000000</v>
      </c>
      <c r="H17" s="20" t="n">
        <f aca="false">-GiaDinh!$B$35</f>
        <v>-15000000</v>
      </c>
      <c r="I17" s="20" t="n">
        <f aca="false">-GiaDinh!$B$35</f>
        <v>-15000000</v>
      </c>
      <c r="J17" s="20" t="n">
        <f aca="false">-GiaDinh!$B$35</f>
        <v>-15000000</v>
      </c>
      <c r="K17" s="20" t="n">
        <f aca="false">-GiaDinh!$B$35</f>
        <v>-15000000</v>
      </c>
      <c r="L17" s="20" t="n">
        <f aca="false">-GiaDinh!$B$35</f>
        <v>-15000000</v>
      </c>
      <c r="M17" s="20" t="n">
        <f aca="false">-GiaDinh!$B$35</f>
        <v>-15000000</v>
      </c>
      <c r="N17" s="20" t="n">
        <f aca="false">-GiaDinh!$B$35</f>
        <v>-15000000</v>
      </c>
      <c r="O17" s="20" t="n">
        <f aca="false">-GiaDinh!$B$35</f>
        <v>-15000000</v>
      </c>
      <c r="P17" s="20" t="n">
        <f aca="false">-GiaDinh!$B$35</f>
        <v>-15000000</v>
      </c>
      <c r="Q17" s="20" t="n">
        <f aca="false">-GiaDinh!$B$35</f>
        <v>-15000000</v>
      </c>
      <c r="R17" s="20" t="n">
        <f aca="false">-GiaDinh!$B$35</f>
        <v>-15000000</v>
      </c>
      <c r="S17" s="20" t="n">
        <f aca="false">-GiaDinh!$B$35</f>
        <v>-15000000</v>
      </c>
      <c r="T17" s="20" t="n">
        <f aca="false">-GiaDinh!$B$35</f>
        <v>-15000000</v>
      </c>
      <c r="U17" s="20" t="n">
        <f aca="false">-GiaDinh!$B$35</f>
        <v>-15000000</v>
      </c>
      <c r="V17" s="20" t="n">
        <f aca="false">-GiaDinh!$B$35</f>
        <v>-15000000</v>
      </c>
      <c r="W17" s="20" t="n">
        <f aca="false">-GiaDinh!$B$35</f>
        <v>-15000000</v>
      </c>
      <c r="X17" s="20" t="n">
        <f aca="false">-GiaDinh!$B$35</f>
        <v>-15000000</v>
      </c>
      <c r="Y17" s="20" t="n">
        <f aca="false">-GiaDinh!$B$35</f>
        <v>-15000000</v>
      </c>
    </row>
    <row r="18" customFormat="false" ht="15" hidden="false" customHeight="false" outlineLevel="0" collapsed="false">
      <c r="A18" s="5" t="s">
        <v>150</v>
      </c>
      <c r="B18" s="20" t="n">
        <f aca="false">-GiaDinh!$B$36</f>
        <v>-10000000</v>
      </c>
      <c r="C18" s="20" t="n">
        <f aca="false">-GiaDinh!$B$36</f>
        <v>-10000000</v>
      </c>
      <c r="D18" s="20" t="n">
        <f aca="false">-GiaDinh!$B$36</f>
        <v>-10000000</v>
      </c>
      <c r="E18" s="20" t="n">
        <f aca="false">-GiaDinh!$B$36</f>
        <v>-10000000</v>
      </c>
      <c r="F18" s="20" t="n">
        <f aca="false">-GiaDinh!$B$36</f>
        <v>-10000000</v>
      </c>
      <c r="G18" s="20" t="n">
        <f aca="false">-GiaDinh!$B$36</f>
        <v>-10000000</v>
      </c>
      <c r="H18" s="20" t="n">
        <f aca="false">-GiaDinh!$B$36</f>
        <v>-10000000</v>
      </c>
      <c r="I18" s="20" t="n">
        <f aca="false">-GiaDinh!$B$36</f>
        <v>-10000000</v>
      </c>
      <c r="J18" s="20" t="n">
        <f aca="false">-GiaDinh!$B$36</f>
        <v>-10000000</v>
      </c>
      <c r="K18" s="20" t="n">
        <f aca="false">-GiaDinh!$B$36</f>
        <v>-10000000</v>
      </c>
      <c r="L18" s="20" t="n">
        <f aca="false">-GiaDinh!$B$36</f>
        <v>-10000000</v>
      </c>
      <c r="M18" s="20" t="n">
        <f aca="false">-GiaDinh!$B$36</f>
        <v>-10000000</v>
      </c>
      <c r="N18" s="20" t="n">
        <f aca="false">-GiaDinh!$B$36</f>
        <v>-10000000</v>
      </c>
      <c r="O18" s="20" t="n">
        <f aca="false">-GiaDinh!$B$36</f>
        <v>-10000000</v>
      </c>
      <c r="P18" s="20" t="n">
        <f aca="false">-GiaDinh!$B$36</f>
        <v>-10000000</v>
      </c>
      <c r="Q18" s="20" t="n">
        <f aca="false">-GiaDinh!$B$36</f>
        <v>-10000000</v>
      </c>
      <c r="R18" s="20" t="n">
        <f aca="false">-GiaDinh!$B$36</f>
        <v>-10000000</v>
      </c>
      <c r="S18" s="20" t="n">
        <f aca="false">-GiaDinh!$B$36</f>
        <v>-10000000</v>
      </c>
      <c r="T18" s="20" t="n">
        <f aca="false">-GiaDinh!$B$36</f>
        <v>-10000000</v>
      </c>
      <c r="U18" s="20" t="n">
        <f aca="false">-GiaDinh!$B$36</f>
        <v>-10000000</v>
      </c>
      <c r="V18" s="20" t="n">
        <f aca="false">-GiaDinh!$B$36</f>
        <v>-10000000</v>
      </c>
      <c r="W18" s="20" t="n">
        <f aca="false">-GiaDinh!$B$36</f>
        <v>-10000000</v>
      </c>
      <c r="X18" s="20" t="n">
        <f aca="false">-GiaDinh!$B$36</f>
        <v>-10000000</v>
      </c>
      <c r="Y18" s="20" t="n">
        <f aca="false">-GiaDinh!$B$36</f>
        <v>-10000000</v>
      </c>
    </row>
    <row r="19" customFormat="false" ht="15" hidden="false" customHeight="false" outlineLevel="0" collapsed="false">
      <c r="A19" s="14" t="s">
        <v>151</v>
      </c>
      <c r="B19" s="24" t="n">
        <f aca="false">B13+B15+B16+B17+B18</f>
        <v>-166910000</v>
      </c>
      <c r="C19" s="24" t="n">
        <f aca="false">C13+C15+C16+C17+C18</f>
        <v>-180672824</v>
      </c>
      <c r="D19" s="24" t="n">
        <f aca="false">D13+D15+D16+D17+D18</f>
        <v>-196757827.28</v>
      </c>
      <c r="E19" s="24" t="n">
        <f aca="false">E13+E15+E16+E17+E18</f>
        <v>-215711864.4776</v>
      </c>
      <c r="F19" s="24" t="n">
        <f aca="false">F13+F15+F16+F17+F18</f>
        <v>-238177369.464392</v>
      </c>
      <c r="G19" s="24" t="n">
        <f aca="false">G13+G15+G16+G17+G18</f>
        <v>-264913654.256891</v>
      </c>
      <c r="H19" s="24" t="n">
        <f aca="false">H13+H15+H16+H17+H18</f>
        <v>-296822131.105222</v>
      </c>
      <c r="I19" s="24" t="n">
        <f aca="false">I13+I15+I16+I17+I18</f>
        <v>-334976293.61737</v>
      </c>
      <c r="J19" s="24" t="n">
        <f aca="false">J13+J15+J16+J17+J18</f>
        <v>-380657452.206481</v>
      </c>
      <c r="K19" s="24" t="n">
        <f aca="false">K13+K15+K16+K17+K18</f>
        <v>-435397411.630311</v>
      </c>
      <c r="L19" s="24" t="n">
        <f aca="false">L13+L15+L16+L17+L18</f>
        <v>-501029510.36053</v>
      </c>
      <c r="M19" s="24" t="n">
        <f aca="false">M13+M15+M16+M17+M18</f>
        <v>-579749720.723652</v>
      </c>
      <c r="N19" s="24" t="n">
        <f aca="false">N13+N15+N16+N17+N18</f>
        <v>-674189844.51543</v>
      </c>
      <c r="O19" s="24" t="n">
        <f aca="false">O13+O15+O16+O17+O18</f>
        <v>-787505242.310216</v>
      </c>
      <c r="P19" s="24" t="n">
        <f aca="false">P13+P15+P16+P17+P18</f>
        <v>-923480019.426577</v>
      </c>
      <c r="Q19" s="24" t="n">
        <f aca="false">Q13+Q15+Q16+Q17+Q18</f>
        <v>-1086653173.63673</v>
      </c>
      <c r="R19" s="24" t="n">
        <f aca="false">R13+R15+R16+R17+R18</f>
        <v>-1282469908.63135</v>
      </c>
      <c r="S19" s="24" t="n">
        <f aca="false">S13+S15+S16+S17+S18</f>
        <v>-1517463156.27668</v>
      </c>
      <c r="T19" s="24" t="n">
        <f aca="false">T13+T15+T16+T17+T18</f>
        <v>-1799471357.79975</v>
      </c>
      <c r="U19" s="24" t="n">
        <f aca="false">U13+U15+U16+U17+U18</f>
        <v>-2137899762.78487</v>
      </c>
      <c r="V19" s="24" t="n">
        <f aca="false">V13+V15+V16+V17+V18</f>
        <v>-2544033955.55504</v>
      </c>
      <c r="W19" s="24" t="n">
        <f aca="false">W13+W15+W16+W17+W18</f>
        <v>-3031416059.50491</v>
      </c>
      <c r="X19" s="24" t="n">
        <f aca="false">X13+X15+X16+X17+X18</f>
        <v>-3616296159.28397</v>
      </c>
      <c r="Y19" s="24" t="n">
        <f aca="false">Y13+Y15+Y16+Y17+Y18</f>
        <v>-4318173988.04496</v>
      </c>
    </row>
    <row r="20" customFormat="false" ht="15" hidden="false" customHeight="false" outlineLevel="0" collapsed="false">
      <c r="A20" s="9" t="s">
        <v>152</v>
      </c>
      <c r="B20" s="23" t="n">
        <f aca="false">B19</f>
        <v>-166910000</v>
      </c>
      <c r="C20" s="23" t="n">
        <f aca="false">B20+C19</f>
        <v>-347582824</v>
      </c>
      <c r="D20" s="23" t="n">
        <f aca="false">C20+D19</f>
        <v>-544340651.28</v>
      </c>
      <c r="E20" s="23" t="n">
        <f aca="false">D20+E19</f>
        <v>-760052515.7576</v>
      </c>
      <c r="F20" s="23" t="n">
        <f aca="false">E20+F19</f>
        <v>-998229885.221992</v>
      </c>
      <c r="G20" s="23" t="n">
        <f aca="false">F20+G19</f>
        <v>-1263143539.47888</v>
      </c>
      <c r="H20" s="23" t="n">
        <f aca="false">G20+H19</f>
        <v>-1559965670.5841</v>
      </c>
      <c r="I20" s="23" t="n">
        <f aca="false">H20+I19</f>
        <v>-1894941964.20147</v>
      </c>
      <c r="J20" s="23" t="n">
        <f aca="false">I20+J19</f>
        <v>-2275599416.40796</v>
      </c>
      <c r="K20" s="23" t="n">
        <f aca="false">J20+K19</f>
        <v>-2710996828.03827</v>
      </c>
      <c r="L20" s="23" t="n">
        <f aca="false">K20+L19</f>
        <v>-3212026338.3988</v>
      </c>
      <c r="M20" s="23" t="n">
        <f aca="false">L20+M19</f>
        <v>-3791776059.12245</v>
      </c>
      <c r="N20" s="23" t="n">
        <f aca="false">M20+N19</f>
        <v>-4465965903.63788</v>
      </c>
      <c r="O20" s="23" t="n">
        <f aca="false">N20+O19</f>
        <v>-5253471145.94809</v>
      </c>
      <c r="P20" s="23" t="n">
        <f aca="false">O20+P19</f>
        <v>-6176951165.37467</v>
      </c>
      <c r="Q20" s="23" t="n">
        <f aca="false">P20+Q19</f>
        <v>-7263604339.0114</v>
      </c>
      <c r="R20" s="23" t="n">
        <f aca="false">Q20+R19</f>
        <v>-8546074247.64274</v>
      </c>
      <c r="S20" s="23" t="n">
        <f aca="false">R20+S19</f>
        <v>-10063537403.9194</v>
      </c>
      <c r="T20" s="23" t="n">
        <f aca="false">S20+T19</f>
        <v>-11863008761.7192</v>
      </c>
      <c r="U20" s="23" t="n">
        <f aca="false">T20+U19</f>
        <v>-14000908524.504</v>
      </c>
      <c r="V20" s="23" t="n">
        <f aca="false">U20+V19</f>
        <v>-16544942480.0591</v>
      </c>
      <c r="W20" s="23" t="n">
        <f aca="false">V20+W19</f>
        <v>-19576358539.564</v>
      </c>
      <c r="X20" s="23" t="n">
        <f aca="false">W20+X19</f>
        <v>-23192654698.848</v>
      </c>
      <c r="Y20" s="23" t="n">
        <f aca="false">X20+Y19</f>
        <v>-27510828686.8929</v>
      </c>
    </row>
    <row r="21" customFormat="false" ht="15" hidden="false" customHeight="false" outlineLevel="0" collapsed="false">
      <c r="A21" s="5" t="s">
        <v>153</v>
      </c>
      <c r="B21" s="20" t="n">
        <f aca="false">IF(B19&gt;0,1,0)</f>
        <v>0</v>
      </c>
      <c r="C21" s="20" t="n">
        <f aca="false">IF(C19&gt;0,1,0)</f>
        <v>0</v>
      </c>
      <c r="D21" s="20" t="n">
        <f aca="false">IF(D19&gt;0,1,0)</f>
        <v>0</v>
      </c>
      <c r="E21" s="20" t="n">
        <f aca="false">IF(E19&gt;0,1,0)</f>
        <v>0</v>
      </c>
      <c r="F21" s="20" t="n">
        <f aca="false">IF(F19&gt;0,1,0)</f>
        <v>0</v>
      </c>
      <c r="G21" s="20" t="n">
        <f aca="false">IF(G19&gt;0,1,0)</f>
        <v>0</v>
      </c>
      <c r="H21" s="20" t="n">
        <f aca="false">IF(H19&gt;0,1,0)</f>
        <v>0</v>
      </c>
      <c r="I21" s="20" t="n">
        <f aca="false">IF(I19&gt;0,1,0)</f>
        <v>0</v>
      </c>
      <c r="J21" s="20" t="n">
        <f aca="false">IF(J19&gt;0,1,0)</f>
        <v>0</v>
      </c>
      <c r="K21" s="20" t="n">
        <f aca="false">IF(K19&gt;0,1,0)</f>
        <v>0</v>
      </c>
      <c r="L21" s="20" t="n">
        <f aca="false">IF(L19&gt;0,1,0)</f>
        <v>0</v>
      </c>
      <c r="M21" s="20" t="n">
        <f aca="false">IF(M19&gt;0,1,0)</f>
        <v>0</v>
      </c>
      <c r="N21" s="20" t="n">
        <f aca="false">IF(N19&gt;0,1,0)</f>
        <v>0</v>
      </c>
      <c r="O21" s="20" t="n">
        <f aca="false">IF(O19&gt;0,1,0)</f>
        <v>0</v>
      </c>
      <c r="P21" s="20" t="n">
        <f aca="false">IF(P19&gt;0,1,0)</f>
        <v>0</v>
      </c>
      <c r="Q21" s="20" t="n">
        <f aca="false">IF(Q19&gt;0,1,0)</f>
        <v>0</v>
      </c>
      <c r="R21" s="20" t="n">
        <f aca="false">IF(R19&gt;0,1,0)</f>
        <v>0</v>
      </c>
      <c r="S21" s="20" t="n">
        <f aca="false">IF(S19&gt;0,1,0)</f>
        <v>0</v>
      </c>
      <c r="T21" s="20" t="n">
        <f aca="false">IF(T19&gt;0,1,0)</f>
        <v>0</v>
      </c>
      <c r="U21" s="20" t="n">
        <f aca="false">IF(U19&gt;0,1,0)</f>
        <v>0</v>
      </c>
      <c r="V21" s="20" t="n">
        <f aca="false">IF(V19&gt;0,1,0)</f>
        <v>0</v>
      </c>
      <c r="W21" s="20" t="n">
        <f aca="false">IF(W19&gt;0,1,0)</f>
        <v>0</v>
      </c>
      <c r="X21" s="20" t="n">
        <f aca="false">IF(X19&gt;0,1,0)</f>
        <v>0</v>
      </c>
      <c r="Y21" s="20" t="n">
        <f aca="false">IF(Y19&gt;0,1,0)</f>
        <v>0</v>
      </c>
    </row>
    <row r="22" customFormat="false" ht="15" hidden="false" customHeight="false" outlineLevel="0" collapsed="false">
      <c r="A22" s="5" t="s">
        <v>153</v>
      </c>
      <c r="B22" s="20" t="n">
        <f aca="false">IF(B20&gt;0,1,0)</f>
        <v>0</v>
      </c>
      <c r="C22" s="20" t="n">
        <f aca="false">IF(C20&gt;0,1,0)</f>
        <v>0</v>
      </c>
      <c r="D22" s="20" t="n">
        <f aca="false">IF(D20&gt;0,1,0)</f>
        <v>0</v>
      </c>
      <c r="E22" s="20" t="n">
        <f aca="false">IF(E20&gt;0,1,0)</f>
        <v>0</v>
      </c>
      <c r="F22" s="20" t="n">
        <f aca="false">IF(F20&gt;0,1,0)</f>
        <v>0</v>
      </c>
      <c r="G22" s="20" t="n">
        <f aca="false">IF(G20&gt;0,1,0)</f>
        <v>0</v>
      </c>
      <c r="H22" s="20" t="n">
        <f aca="false">IF(H20&gt;0,1,0)</f>
        <v>0</v>
      </c>
      <c r="I22" s="20" t="n">
        <f aca="false">IF(I20&gt;0,1,0)</f>
        <v>0</v>
      </c>
      <c r="J22" s="20" t="n">
        <f aca="false">IF(J20&gt;0,1,0)</f>
        <v>0</v>
      </c>
      <c r="K22" s="20" t="n">
        <f aca="false">IF(K20&gt;0,1,0)</f>
        <v>0</v>
      </c>
      <c r="L22" s="20" t="n">
        <f aca="false">IF(L20&gt;0,1,0)</f>
        <v>0</v>
      </c>
      <c r="M22" s="20" t="n">
        <f aca="false">IF(M20&gt;0,1,0)</f>
        <v>0</v>
      </c>
      <c r="N22" s="20" t="n">
        <f aca="false">IF(N20&gt;0,1,0)</f>
        <v>0</v>
      </c>
      <c r="O22" s="20" t="n">
        <f aca="false">IF(O20&gt;0,1,0)</f>
        <v>0</v>
      </c>
      <c r="P22" s="20" t="n">
        <f aca="false">IF(P20&gt;0,1,0)</f>
        <v>0</v>
      </c>
      <c r="Q22" s="20" t="n">
        <f aca="false">IF(Q20&gt;0,1,0)</f>
        <v>0</v>
      </c>
      <c r="R22" s="20" t="n">
        <f aca="false">IF(R20&gt;0,1,0)</f>
        <v>0</v>
      </c>
      <c r="S22" s="20" t="n">
        <f aca="false">IF(S20&gt;0,1,0)</f>
        <v>0</v>
      </c>
      <c r="T22" s="20" t="n">
        <f aca="false">IF(T20&gt;0,1,0)</f>
        <v>0</v>
      </c>
      <c r="U22" s="20" t="n">
        <f aca="false">IF(U20&gt;0,1,0)</f>
        <v>0</v>
      </c>
      <c r="V22" s="20" t="n">
        <f aca="false">IF(V20&gt;0,1,0)</f>
        <v>0</v>
      </c>
      <c r="W22" s="20" t="n">
        <f aca="false">IF(W20&gt;0,1,0)</f>
        <v>0</v>
      </c>
      <c r="X22" s="20" t="n">
        <f aca="false">IF(X20&gt;0,1,0)</f>
        <v>0</v>
      </c>
      <c r="Y22" s="20" t="n">
        <f aca="false">IF(Y20&gt;0,1,0)</f>
        <v>0</v>
      </c>
    </row>
    <row r="24" customFormat="false" ht="17.35" hidden="false" customHeight="false" outlineLevel="0" collapsed="false">
      <c r="A24" s="1" t="s">
        <v>154</v>
      </c>
    </row>
    <row r="25" customFormat="false" ht="15" hidden="false" customHeight="false" outlineLevel="0" collapsed="false">
      <c r="A25" s="9" t="s">
        <v>155</v>
      </c>
      <c r="B25" s="11" t="n">
        <f aca="false">SUM(B9:M9)</f>
        <v>1111927464.22203</v>
      </c>
    </row>
    <row r="26" customFormat="false" ht="15" hidden="false" customHeight="false" outlineLevel="0" collapsed="false">
      <c r="A26" s="9" t="s">
        <v>156</v>
      </c>
      <c r="B26" s="11" t="n">
        <f aca="false">SUM(B19:M19)</f>
        <v>-3791776059.12245</v>
      </c>
    </row>
    <row r="27" customFormat="false" ht="15" hidden="false" customHeight="false" outlineLevel="0" collapsed="false">
      <c r="A27" s="9" t="s">
        <v>157</v>
      </c>
      <c r="B27" s="11" t="n">
        <f aca="false">SUM(N9:Y9)</f>
        <v>11632414781.7551</v>
      </c>
    </row>
    <row r="28" customFormat="false" ht="15" hidden="false" customHeight="false" outlineLevel="0" collapsed="false">
      <c r="A28" s="9" t="s">
        <v>158</v>
      </c>
      <c r="B28" s="11" t="n">
        <f aca="false">SUM(N19:Y19)</f>
        <v>-23719052627.7705</v>
      </c>
    </row>
    <row r="29" customFormat="false" ht="15" hidden="false" customHeight="false" outlineLevel="0" collapsed="false">
      <c r="A29" s="9" t="s">
        <v>159</v>
      </c>
      <c r="B29" s="25" t="str">
        <f aca="false">IFERROR(MATCH(1,B21:Y21,0),"chưa")</f>
        <v>chưa</v>
      </c>
    </row>
    <row r="30" customFormat="false" ht="15" hidden="false" customHeight="false" outlineLevel="0" collapsed="false">
      <c r="A30" s="9" t="s">
        <v>160</v>
      </c>
      <c r="B30" s="25" t="str">
        <f aca="false">IFERROR(MATCH(1,B22:Y22,0),"chưa")</f>
        <v>chưa</v>
      </c>
    </row>
    <row r="31" customFormat="false" ht="15" hidden="false" customHeight="false" outlineLevel="0" collapsed="false">
      <c r="A31" s="9" t="s">
        <v>161</v>
      </c>
      <c r="B31" s="11" t="n">
        <f aca="false">Y6</f>
        <v>17006.0718494528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8" t="s">
        <v>164</v>
      </c>
      <c r="B4" s="19" t="n">
        <v>60</v>
      </c>
      <c r="C4" s="19" t="n">
        <v>100</v>
      </c>
      <c r="D4" s="19" t="n">
        <v>150</v>
      </c>
      <c r="E4" s="19" t="n">
        <v>200</v>
      </c>
    </row>
    <row r="5" customFormat="false" ht="15" hidden="false" customHeight="false" outlineLevel="0" collapsed="false">
      <c r="A5" s="26" t="n">
        <v>79000</v>
      </c>
      <c r="B5" s="27" t="n">
        <f aca="false">($A5*(1-GiaDinh!$B$25)-B$4*DonViKinhTe!$B$6)/($A5*(1-GiaDinh!$B$25))</f>
        <v>0.468044432963059</v>
      </c>
      <c r="C5" s="27" t="n">
        <f aca="false">($A5*(1-GiaDinh!$B$25)-C$4*DonViKinhTe!$B$6)/($A5*(1-GiaDinh!$B$25))</f>
        <v>0.113407388271764</v>
      </c>
      <c r="D5" s="27" t="n">
        <f aca="false">($A5*(1-GiaDinh!$B$25)-D$4*DonViKinhTe!$B$6)/($A5*(1-GiaDinh!$B$25))</f>
        <v>-0.329888917592354</v>
      </c>
      <c r="E5" s="27" t="n">
        <f aca="false">($A5*(1-GiaDinh!$B$25)-E$4*DonViKinhTe!$B$6)/($A5*(1-GiaDinh!$B$25))</f>
        <v>-0.773185223456472</v>
      </c>
    </row>
    <row r="6" customFormat="false" ht="15" hidden="false" customHeight="false" outlineLevel="0" collapsed="false">
      <c r="A6" s="26" t="n">
        <v>99000</v>
      </c>
      <c r="B6" s="27" t="n">
        <f aca="false">($A6*(1-GiaDinh!$B$25)-B$4*DonViKinhTe!$B$6)/($A6*(1-GiaDinh!$B$25))</f>
        <v>0.575510204081633</v>
      </c>
      <c r="C6" s="27" t="n">
        <f aca="false">($A6*(1-GiaDinh!$B$25)-C$4*DonViKinhTe!$B$6)/($A6*(1-GiaDinh!$B$25))</f>
        <v>0.292517006802721</v>
      </c>
      <c r="D6" s="27" t="n">
        <f aca="false">($A6*(1-GiaDinh!$B$25)-D$4*DonViKinhTe!$B$6)/($A6*(1-GiaDinh!$B$25))</f>
        <v>-0.0612244897959185</v>
      </c>
      <c r="E6" s="27" t="n">
        <f aca="false">($A6*(1-GiaDinh!$B$25)-E$4*DonViKinhTe!$B$6)/($A6*(1-GiaDinh!$B$25))</f>
        <v>-0.414965986394558</v>
      </c>
    </row>
    <row r="7" customFormat="false" ht="15" hidden="false" customHeight="false" outlineLevel="0" collapsed="false">
      <c r="A7" s="26" t="n">
        <v>129000</v>
      </c>
      <c r="B7" s="27" t="n">
        <f aca="false">($A7*(1-GiaDinh!$B$25)-B$4*DonViKinhTe!$B$6)/($A7*(1-GiaDinh!$B$25))</f>
        <v>0.674228761271951</v>
      </c>
      <c r="C7" s="27" t="n">
        <f aca="false">($A7*(1-GiaDinh!$B$25)-C$4*DonViKinhTe!$B$6)/($A7*(1-GiaDinh!$B$25))</f>
        <v>0.457047935453251</v>
      </c>
      <c r="D7" s="27" t="n">
        <f aca="false">($A7*(1-GiaDinh!$B$25)-D$4*DonViKinhTe!$B$6)/($A7*(1-GiaDinh!$B$25))</f>
        <v>0.185571903179876</v>
      </c>
      <c r="E7" s="27" t="n">
        <f aca="false">($A7*(1-GiaDinh!$B$25)-E$4*DonViKinhTe!$B$6)/($A7*(1-GiaDinh!$B$25))</f>
        <v>-0.0859041290934981</v>
      </c>
    </row>
    <row r="8" customFormat="false" ht="15" hidden="false" customHeight="false" outlineLevel="0" collapsed="false">
      <c r="A8" s="26" t="n">
        <v>159000</v>
      </c>
      <c r="B8" s="27" t="n">
        <f aca="false">($A8*(1-GiaDinh!$B$25)-B$4*DonViKinhTe!$B$6)/($A8*(1-GiaDinh!$B$25))</f>
        <v>0.735695032730073</v>
      </c>
      <c r="C8" s="27" t="n">
        <f aca="false">($A8*(1-GiaDinh!$B$25)-C$4*DonViKinhTe!$B$6)/($A8*(1-GiaDinh!$B$25))</f>
        <v>0.559491721216789</v>
      </c>
      <c r="D8" s="27" t="n">
        <f aca="false">($A8*(1-GiaDinh!$B$25)-D$4*DonViKinhTe!$B$6)/($A8*(1-GiaDinh!$B$25))</f>
        <v>0.339237581825183</v>
      </c>
      <c r="E8" s="27" t="n">
        <f aca="false">($A8*(1-GiaDinh!$B$25)-E$4*DonViKinhTe!$B$6)/($A8*(1-GiaDinh!$B$25))</f>
        <v>0.118983442433577</v>
      </c>
    </row>
    <row r="9" customFormat="false" ht="15" hidden="false" customHeight="false" outlineLevel="0" collapsed="false">
      <c r="A9" s="26" t="n">
        <v>199000</v>
      </c>
      <c r="B9" s="27" t="n">
        <f aca="false">($A9*(1-GiaDinh!$B$25)-B$4*DonViKinhTe!$B$6)/($A9*(1-GiaDinh!$B$25))</f>
        <v>0.788821659316993</v>
      </c>
      <c r="C9" s="27" t="n">
        <f aca="false">($A9*(1-GiaDinh!$B$25)-C$4*DonViKinhTe!$B$6)/($A9*(1-GiaDinh!$B$25))</f>
        <v>0.648036098861655</v>
      </c>
      <c r="D9" s="27" t="n">
        <f aca="false">($A9*(1-GiaDinh!$B$25)-D$4*DonViKinhTe!$B$6)/($A9*(1-GiaDinh!$B$25))</f>
        <v>0.472054148292483</v>
      </c>
      <c r="E9" s="27" t="n">
        <f aca="false">($A9*(1-GiaDinh!$B$25)-E$4*DonViKinhTe!$B$6)/($A9*(1-GiaDinh!$B$25))</f>
        <v>0.29607219772331</v>
      </c>
    </row>
    <row r="11" customFormat="false" ht="15" hidden="false" customHeight="false" outlineLevel="0" collapsed="false">
      <c r="A11" s="2" t="s">
        <v>165</v>
      </c>
    </row>
    <row r="12" customFormat="false" ht="15" hidden="false" customHeight="false" outlineLevel="0" collapsed="false">
      <c r="A12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3" t="s">
        <v>169</v>
      </c>
      <c r="B4" s="4"/>
      <c r="C4" s="4"/>
    </row>
    <row r="5" customFormat="false" ht="15" hidden="false" customHeight="false" outlineLevel="0" collapsed="false">
      <c r="A5" s="5" t="s">
        <v>170</v>
      </c>
      <c r="B5" s="10" t="n">
        <f aca="false">(GiaDinh!$B$40*GiaDinh!$B$38+GiaDinh!$B$41*GiaDinh!$B$38*GiaDinh!$B$10+GiaDinh!$B$42*GiaDinh!$B$39)/1000000*GiaDinh!$B$5</f>
        <v>4784</v>
      </c>
      <c r="C5" s="2" t="s">
        <v>171</v>
      </c>
    </row>
    <row r="6" customFormat="false" ht="15" hidden="false" customHeight="false" outlineLevel="0" collapsed="false">
      <c r="A6" s="5" t="s">
        <v>172</v>
      </c>
      <c r="B6" s="11" t="n">
        <f aca="false">B5*(1+GiaDinh!$B$43)</f>
        <v>7176</v>
      </c>
      <c r="C6" s="2" t="s">
        <v>173</v>
      </c>
    </row>
    <row r="7" customFormat="false" ht="15" hidden="false" customHeight="false" outlineLevel="0" collapsed="false">
      <c r="A7" s="5" t="s">
        <v>174</v>
      </c>
      <c r="B7" s="11" t="n">
        <f aca="false">GiaDinh!$B$44*GiaDinh!$B$45*(GiaDinh!$B$46/60)</f>
        <v>7500</v>
      </c>
      <c r="C7" s="2" t="s">
        <v>175</v>
      </c>
    </row>
    <row r="8" customFormat="false" ht="15" hidden="false" customHeight="false" outlineLevel="0" collapsed="false">
      <c r="A8" s="9" t="s">
        <v>176</v>
      </c>
      <c r="B8" s="28" t="n">
        <f aca="false">B6+B7</f>
        <v>14676</v>
      </c>
    </row>
    <row r="9" customFormat="false" ht="15" hidden="false" customHeight="false" outlineLevel="0" collapsed="false">
      <c r="A9" s="3" t="s">
        <v>177</v>
      </c>
      <c r="B9" s="4"/>
      <c r="C9" s="4"/>
    </row>
    <row r="10" customFormat="false" ht="15" hidden="false" customHeight="false" outlineLevel="0" collapsed="false">
      <c r="A10" s="5" t="s">
        <v>178</v>
      </c>
      <c r="B10" s="11" t="n">
        <f aca="false">GiaDinh!$B$47*B8</f>
        <v>880560</v>
      </c>
    </row>
    <row r="11" customFormat="false" ht="15" hidden="false" customHeight="false" outlineLevel="0" collapsed="false">
      <c r="A11" s="5" t="s">
        <v>179</v>
      </c>
      <c r="B11" s="11" t="n">
        <f aca="false">GiaDinh!$B$48*(1-GiaDinh!$B$49)</f>
        <v>298500</v>
      </c>
    </row>
    <row r="12" customFormat="false" ht="15" hidden="false" customHeight="false" outlineLevel="0" collapsed="false">
      <c r="A12" s="9" t="s">
        <v>180</v>
      </c>
      <c r="B12" s="28" t="n">
        <f aca="false">B11-B10</f>
        <v>-582060</v>
      </c>
      <c r="C12" s="2" t="s">
        <v>181</v>
      </c>
    </row>
    <row r="13" customFormat="false" ht="15" hidden="false" customHeight="false" outlineLevel="0" collapsed="false">
      <c r="A13" s="5" t="s">
        <v>97</v>
      </c>
      <c r="B13" s="12" t="n">
        <f aca="false">B12/B11</f>
        <v>-1.94994974874372</v>
      </c>
    </row>
    <row r="14" customFormat="false" ht="15" hidden="false" customHeight="false" outlineLevel="0" collapsed="false">
      <c r="A14" s="5" t="s">
        <v>182</v>
      </c>
      <c r="B14" s="11" t="n">
        <f aca="false">B12*12</f>
        <v>-6984720</v>
      </c>
    </row>
    <row r="15" customFormat="false" ht="15" hidden="false" customHeight="false" outlineLevel="0" collapsed="false">
      <c r="A15" s="3" t="s">
        <v>183</v>
      </c>
      <c r="B15" s="4"/>
      <c r="C15" s="4"/>
    </row>
    <row r="16" customFormat="false" ht="15" hidden="false" customHeight="false" outlineLevel="0" collapsed="false">
      <c r="A16" s="5" t="s">
        <v>184</v>
      </c>
      <c r="B16" s="11" t="n">
        <f aca="false">GiaDinh!$B$50*GiaDinh!$B$51</f>
        <v>500</v>
      </c>
      <c r="C16" s="2" t="s">
        <v>185</v>
      </c>
    </row>
    <row r="17" customFormat="false" ht="15" hidden="false" customHeight="false" outlineLevel="0" collapsed="false">
      <c r="A17" s="5" t="s">
        <v>186</v>
      </c>
      <c r="B17" s="11" t="n">
        <f aca="false">B16*GiaDinh!$B$48</f>
        <v>150000000</v>
      </c>
    </row>
    <row r="18" customFormat="false" ht="15" hidden="false" customHeight="false" outlineLevel="0" collapsed="false">
      <c r="A18" s="5" t="s">
        <v>187</v>
      </c>
      <c r="B18" s="11" t="n">
        <f aca="false">B16*B10</f>
        <v>440280000</v>
      </c>
    </row>
    <row r="19" customFormat="false" ht="15" hidden="false" customHeight="false" outlineLevel="0" collapsed="false">
      <c r="A19" s="5" t="s">
        <v>188</v>
      </c>
      <c r="B19" s="11" t="n">
        <f aca="false">B17*GiaDinh!$B$49</f>
        <v>750000</v>
      </c>
    </row>
    <row r="20" customFormat="false" ht="15" hidden="false" customHeight="false" outlineLevel="0" collapsed="false">
      <c r="A20" s="9" t="s">
        <v>189</v>
      </c>
      <c r="B20" s="28" t="n">
        <f aca="false">B17-B18-B19</f>
        <v>-291030000</v>
      </c>
    </row>
    <row r="21" customFormat="false" ht="15" hidden="false" customHeight="false" outlineLevel="0" collapsed="false">
      <c r="A21" s="9" t="s">
        <v>190</v>
      </c>
      <c r="B21" s="28" t="n">
        <f aca="false">B20-GiaDinh!$B$52</f>
        <v>-311030000</v>
      </c>
    </row>
    <row r="22" customFormat="false" ht="15" hidden="false" customHeight="false" outlineLevel="0" collapsed="false">
      <c r="A22" s="5" t="s">
        <v>191</v>
      </c>
      <c r="B22" s="11" t="n">
        <f aca="false">B17*12</f>
        <v>1800000000</v>
      </c>
    </row>
    <row r="23" customFormat="false" ht="15" hidden="false" customHeight="false" outlineLevel="0" collapsed="false">
      <c r="A23" s="9" t="s">
        <v>192</v>
      </c>
      <c r="B23" s="28" t="n">
        <f aca="false">B21*12</f>
        <v>-3732360000</v>
      </c>
    </row>
    <row r="24" customFormat="false" ht="15" hidden="false" customHeight="false" outlineLevel="0" collapsed="false">
      <c r="A24" s="5" t="s">
        <v>193</v>
      </c>
      <c r="B24" s="11" t="n">
        <f aca="false">IF(B12&gt;0,GiaDinh!$B$52/B12,9999)</f>
        <v>9999</v>
      </c>
      <c r="C24" s="2" t="s">
        <v>194</v>
      </c>
    </row>
    <row r="25" customFormat="false" ht="15" hidden="false" customHeight="false" outlineLevel="0" collapsed="false">
      <c r="A25" s="3" t="s">
        <v>195</v>
      </c>
      <c r="B25" s="4"/>
      <c r="C25" s="4"/>
    </row>
    <row r="26" customFormat="false" ht="15" hidden="false" customHeight="false" outlineLevel="0" collapsed="false">
      <c r="A26" s="5" t="s">
        <v>196</v>
      </c>
      <c r="B26" s="10" t="n">
        <f aca="false">DonViKinhTe!$B$6</f>
        <v>686.4</v>
      </c>
    </row>
    <row r="27" customFormat="false" ht="15" hidden="false" customHeight="false" outlineLevel="0" collapsed="false">
      <c r="A27" s="5" t="s">
        <v>197</v>
      </c>
      <c r="B27" s="11" t="n">
        <f aca="false">B8</f>
        <v>14676</v>
      </c>
      <c r="C27" s="2" t="s">
        <v>198</v>
      </c>
    </row>
    <row r="28" customFormat="false" ht="15" hidden="false" customHeight="false" outlineLevel="0" collapsed="false">
      <c r="A28" s="5" t="s">
        <v>199</v>
      </c>
      <c r="B28" s="10" t="n">
        <f aca="false">DonViKinhTe!$B$12</f>
        <v>57780</v>
      </c>
      <c r="C28" s="2" t="s">
        <v>200</v>
      </c>
    </row>
    <row r="29" customFormat="false" ht="15" hidden="false" customHeight="false" outlineLevel="0" collapsed="false">
      <c r="A29" s="5" t="s">
        <v>201</v>
      </c>
      <c r="B29" s="11" t="n">
        <f aca="false">B12</f>
        <v>-582060</v>
      </c>
      <c r="C29" s="2" t="s">
        <v>202</v>
      </c>
    </row>
    <row r="31" customFormat="false" ht="15" hidden="false" customHeight="false" outlineLevel="0" collapsed="false">
      <c r="A31" s="2" t="s">
        <v>203</v>
      </c>
    </row>
    <row r="32" customFormat="false" ht="15" hidden="false" customHeight="false" outlineLevel="0" collapsed="false">
      <c r="A32" s="2" t="s">
        <v>204</v>
      </c>
    </row>
    <row r="34" customFormat="false" ht="15" hidden="false" customHeight="false" outlineLevel="0" collapsed="false">
      <c r="A34" s="3" t="s">
        <v>205</v>
      </c>
      <c r="B34" s="4"/>
      <c r="C34" s="4"/>
    </row>
    <row r="35" customFormat="false" ht="15" hidden="false" customHeight="false" outlineLevel="0" collapsed="false">
      <c r="A35" s="2" t="s">
        <v>206</v>
      </c>
    </row>
    <row r="36" customFormat="false" ht="15" hidden="false" customHeight="false" outlineLevel="0" collapsed="false">
      <c r="A36" s="18" t="s">
        <v>207</v>
      </c>
      <c r="B36" s="19" t="n">
        <v>40</v>
      </c>
      <c r="C36" s="19" t="n">
        <v>60</v>
      </c>
      <c r="D36" s="19" t="n">
        <v>80</v>
      </c>
      <c r="E36" s="19" t="n">
        <v>100</v>
      </c>
    </row>
    <row r="37" customFormat="false" ht="15" hidden="false" customHeight="false" outlineLevel="0" collapsed="false">
      <c r="A37" s="26" t="n">
        <v>200000</v>
      </c>
      <c r="B37" s="27" t="n">
        <f aca="false">($A37*(1-GiaDinh!$B$49)-B$36*B8)/($A37*(1-GiaDinh!$B$49))</f>
        <v>-1.94994974874372</v>
      </c>
      <c r="C37" s="27" t="n">
        <f aca="false">($A37*(1-GiaDinh!$B$49)-C$36*B8)/($A37*(1-GiaDinh!$B$49))</f>
        <v>-3.42492462311558</v>
      </c>
      <c r="D37" s="27" t="n">
        <f aca="false">($A37*(1-GiaDinh!$B$49)-D$36*B8)/($A37*(1-GiaDinh!$B$49))</f>
        <v>-4.89989949748744</v>
      </c>
      <c r="E37" s="27" t="n">
        <f aca="false">($A37*(1-GiaDinh!$B$49)-E$36*B8)/($A37*(1-GiaDinh!$B$49))</f>
        <v>-6.3748743718593</v>
      </c>
    </row>
    <row r="38" customFormat="false" ht="15" hidden="false" customHeight="false" outlineLevel="0" collapsed="false">
      <c r="A38" s="26" t="n">
        <v>300000</v>
      </c>
      <c r="B38" s="27" t="n">
        <f aca="false">($A38*(1-GiaDinh!$B$49)-B$36*B8)/($A38*(1-GiaDinh!$B$49))</f>
        <v>-0.966633165829146</v>
      </c>
      <c r="C38" s="27" t="n">
        <f aca="false">($A38*(1-GiaDinh!$B$49)-C$36*B8)/($A38*(1-GiaDinh!$B$49))</f>
        <v>-1.94994974874372</v>
      </c>
      <c r="D38" s="27" t="n">
        <f aca="false">($A38*(1-GiaDinh!$B$49)-D$36*B8)/($A38*(1-GiaDinh!$B$49))</f>
        <v>-2.93326633165829</v>
      </c>
      <c r="E38" s="27" t="n">
        <f aca="false">($A38*(1-GiaDinh!$B$49)-E$36*B8)/($A38*(1-GiaDinh!$B$49))</f>
        <v>-3.91658291457286</v>
      </c>
    </row>
    <row r="39" customFormat="false" ht="15" hidden="false" customHeight="false" outlineLevel="0" collapsed="false">
      <c r="A39" s="26" t="n">
        <v>400000</v>
      </c>
      <c r="B39" s="27" t="n">
        <f aca="false">($A39*(1-GiaDinh!$B$49)-B$36*B8)/($A39*(1-GiaDinh!$B$49))</f>
        <v>-0.474974874371859</v>
      </c>
      <c r="C39" s="27" t="n">
        <f aca="false">($A39*(1-GiaDinh!$B$49)-C$36*B8)/($A39*(1-GiaDinh!$B$49))</f>
        <v>-1.21246231155779</v>
      </c>
      <c r="D39" s="27" t="n">
        <f aca="false">($A39*(1-GiaDinh!$B$49)-D$36*B8)/($A39*(1-GiaDinh!$B$49))</f>
        <v>-1.94994974874372</v>
      </c>
      <c r="E39" s="27" t="n">
        <f aca="false">($A39*(1-GiaDinh!$B$49)-E$36*B8)/($A39*(1-GiaDinh!$B$49))</f>
        <v>-2.68743718592965</v>
      </c>
    </row>
    <row r="40" customFormat="false" ht="15" hidden="false" customHeight="false" outlineLevel="0" collapsed="false">
      <c r="A40" s="26" t="n">
        <v>500000</v>
      </c>
      <c r="B40" s="27" t="n">
        <f aca="false">($A40*(1-GiaDinh!$B$49)-B$36*B8)/($A40*(1-GiaDinh!$B$49))</f>
        <v>-0.179979899497487</v>
      </c>
      <c r="C40" s="27" t="n">
        <f aca="false">($A40*(1-GiaDinh!$B$49)-C$36*B8)/($A40*(1-GiaDinh!$B$49))</f>
        <v>-0.769969849246231</v>
      </c>
      <c r="D40" s="27" t="n">
        <f aca="false">($A40*(1-GiaDinh!$B$49)-D$36*B8)/($A40*(1-GiaDinh!$B$49))</f>
        <v>-1.35995979899497</v>
      </c>
      <c r="E40" s="27" t="n">
        <f aca="false">($A40*(1-GiaDinh!$B$49)-E$36*B8)/($A40*(1-GiaDinh!$B$49))</f>
        <v>-1.94994974874372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2026-06-25T06:33:27Z</dcterms:created>
  <dc:creator>openpyxl</dc:creator>
  <dc:description/>
  <dc:language>en-US</dc:language>
  <cp:lastModifiedBy/>
  <dcterms:modified xsi:type="dcterms:W3CDTF">2026-06-25T06:33:30Z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